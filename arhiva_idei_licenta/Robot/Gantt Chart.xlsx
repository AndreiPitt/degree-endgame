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gf0sg\Desktop\LICENȚĂ\Robot\"/>
    </mc:Choice>
  </mc:AlternateContent>
  <bookViews>
    <workbookView xWindow="0" yWindow="0" windowWidth="19200" windowHeight="838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N5" i="11" l="1"/>
  <c r="CO5" i="11"/>
  <c r="CP5" i="11"/>
  <c r="CP6" i="11" s="1"/>
  <c r="CQ5" i="11"/>
  <c r="CQ6" i="11" s="1"/>
  <c r="CR5" i="11"/>
  <c r="CR6" i="11" s="1"/>
  <c r="CS5" i="11"/>
  <c r="CS6" i="11" s="1"/>
  <c r="CT5" i="11"/>
  <c r="CT6" i="11" s="1"/>
  <c r="CU5" i="11"/>
  <c r="CU6" i="11" s="1"/>
  <c r="CV5" i="11"/>
  <c r="CV6" i="11" s="1"/>
  <c r="CW5" i="11"/>
  <c r="CW6" i="11" s="1"/>
  <c r="CX5" i="11"/>
  <c r="CX6" i="11" s="1"/>
  <c r="CY5" i="11"/>
  <c r="CY6" i="11" s="1"/>
  <c r="CZ5" i="11"/>
  <c r="CZ6" i="11" s="1"/>
  <c r="DA5" i="11"/>
  <c r="DA6" i="11" s="1"/>
  <c r="CN6" i="11"/>
  <c r="CO6" i="11"/>
  <c r="CN4" i="11"/>
  <c r="CU4" i="11"/>
  <c r="D21" i="11"/>
  <c r="E21" i="11" s="1"/>
  <c r="D19" i="11"/>
  <c r="E19" i="11" s="1"/>
  <c r="D17" i="11"/>
  <c r="E17" i="11" s="1"/>
  <c r="D15" i="11"/>
  <c r="D14" i="11"/>
  <c r="E14" i="11" s="1"/>
  <c r="E12" i="11"/>
  <c r="D12" i="11"/>
  <c r="E11" i="11"/>
  <c r="D11" i="11"/>
  <c r="E10" i="11"/>
  <c r="D10" i="11"/>
  <c r="E9" i="11"/>
  <c r="P1" i="11"/>
  <c r="G7" i="11" l="1"/>
  <c r="D9" i="11" l="1"/>
  <c r="H5" i="11"/>
  <c r="H4" i="11" s="1"/>
  <c r="G25" i="11"/>
  <c r="G20" i="11"/>
  <c r="G16" i="11"/>
  <c r="G13" i="11"/>
  <c r="G8" i="11"/>
  <c r="D18" i="11" l="1"/>
  <c r="E18" i="11" s="1"/>
  <c r="G9" i="11"/>
  <c r="H6" i="11"/>
  <c r="G18" i="11" l="1"/>
  <c r="G17" i="11"/>
  <c r="G10" i="11"/>
  <c r="G19" i="11"/>
  <c r="E15" i="11"/>
  <c r="G14" i="11"/>
  <c r="I5" i="11"/>
  <c r="J5" i="11" s="1"/>
  <c r="K5" i="11" s="1"/>
  <c r="L5" i="11" s="1"/>
  <c r="M5" i="11" s="1"/>
  <c r="N5" i="11" s="1"/>
  <c r="O5" i="11" s="1"/>
  <c r="D24" i="11" l="1"/>
  <c r="D26" i="11" s="1"/>
  <c r="G15" i="11"/>
  <c r="G11" i="11"/>
  <c r="G12" i="11"/>
  <c r="O4" i="11"/>
  <c r="P5" i="11"/>
  <c r="Q5" i="11" s="1"/>
  <c r="R5" i="11" s="1"/>
  <c r="S5" i="11" s="1"/>
  <c r="T5" i="11" s="1"/>
  <c r="U5" i="11" s="1"/>
  <c r="V5" i="11" s="1"/>
  <c r="I6" i="11"/>
  <c r="E26" i="11" l="1"/>
  <c r="D27" i="11" s="1"/>
  <c r="E27" i="11" s="1"/>
  <c r="D28" i="11" s="1"/>
  <c r="E28" i="11" s="1"/>
  <c r="D30" i="11" s="1"/>
  <c r="E30" i="11" s="1"/>
  <c r="D31" i="11" s="1"/>
  <c r="E31" i="11" s="1"/>
  <c r="E24" i="11"/>
  <c r="G24" i="11" s="1"/>
  <c r="D22" i="11"/>
  <c r="G21" i="11"/>
  <c r="V4" i="11"/>
  <c r="W5" i="11"/>
  <c r="X5" i="11" s="1"/>
  <c r="Y5" i="11" s="1"/>
  <c r="Z5" i="11" s="1"/>
  <c r="AA5" i="11" s="1"/>
  <c r="AB5" i="11" s="1"/>
  <c r="AC5" i="11" s="1"/>
  <c r="J6" i="11"/>
  <c r="E22" i="11" l="1"/>
  <c r="D23" i="11" s="1"/>
  <c r="E23" i="11" s="1"/>
  <c r="G23" i="11" s="1"/>
  <c r="AD5" i="11"/>
  <c r="AE5" i="11" s="1"/>
  <c r="AF5" i="11" s="1"/>
  <c r="AG5" i="11" s="1"/>
  <c r="AH5" i="11" s="1"/>
  <c r="AI5" i="11" s="1"/>
  <c r="AC4" i="11"/>
  <c r="K6" i="11"/>
  <c r="G22" i="11" l="1"/>
  <c r="AJ5" i="1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M5" i="11" l="1"/>
  <c r="BL6" i="11"/>
  <c r="BL4" i="11"/>
  <c r="BK6" i="11"/>
  <c r="AF6" i="11"/>
  <c r="BN5" i="11" l="1"/>
  <c r="BM6" i="11"/>
  <c r="AG6" i="11"/>
  <c r="BO5" i="11" l="1"/>
  <c r="BN6" i="11"/>
  <c r="AH6" i="11"/>
  <c r="BP5" i="11" l="1"/>
  <c r="BO6" i="11"/>
  <c r="AI6" i="11"/>
  <c r="BQ5" i="11" l="1"/>
  <c r="BP6" i="11"/>
  <c r="AJ6" i="11"/>
  <c r="BR5" i="11" l="1"/>
  <c r="BQ6" i="11"/>
  <c r="AK6" i="11"/>
  <c r="BS5" i="11" l="1"/>
  <c r="BR6" i="11"/>
  <c r="AL6" i="11"/>
  <c r="BS4" i="11" l="1"/>
  <c r="BS6" i="11"/>
  <c r="BT5" i="11"/>
  <c r="AM6" i="11"/>
  <c r="BT6" i="11" l="1"/>
  <c r="BU5" i="11"/>
  <c r="AN6" i="11"/>
  <c r="BU6" i="11" l="1"/>
  <c r="BV5" i="11"/>
  <c r="AO6" i="11"/>
  <c r="BW5" i="11" l="1"/>
  <c r="BV6" i="11"/>
  <c r="AP6" i="11"/>
  <c r="BW6" i="11" l="1"/>
  <c r="BX5" i="11"/>
  <c r="AQ6" i="11"/>
  <c r="BX6" i="11" l="1"/>
  <c r="BY5" i="11"/>
  <c r="BZ5" i="11" l="1"/>
  <c r="BY6" i="11"/>
  <c r="CA5" i="11" l="1"/>
  <c r="BZ4" i="11"/>
  <c r="BZ6" i="11"/>
  <c r="CA6" i="11" l="1"/>
  <c r="CB5" i="11"/>
  <c r="CB6" i="11" l="1"/>
  <c r="CC5" i="11"/>
  <c r="CC6" i="11" l="1"/>
  <c r="CD5" i="11"/>
  <c r="CD6" i="11" l="1"/>
  <c r="CE5" i="11"/>
  <c r="CE6" i="11" l="1"/>
  <c r="CF5" i="11"/>
  <c r="CG5" i="11" l="1"/>
  <c r="CF6" i="11"/>
  <c r="CH5" i="11" l="1"/>
  <c r="CG6" i="11"/>
  <c r="CG4" i="11"/>
  <c r="CH6" i="11" l="1"/>
  <c r="CI5" i="11"/>
  <c r="CJ5" i="11" l="1"/>
  <c r="CI6" i="11"/>
  <c r="CK5" i="11" l="1"/>
  <c r="CJ6" i="11"/>
  <c r="CL5" i="11" l="1"/>
  <c r="CK6" i="11"/>
  <c r="CL6" i="11" l="1"/>
  <c r="CM5" i="11"/>
  <c r="CM6" i="11" s="1"/>
</calcChain>
</file>

<file path=xl/sharedStrings.xml><?xml version="1.0" encoding="utf-8"?>
<sst xmlns="http://schemas.openxmlformats.org/spreadsheetml/2006/main" count="47" uniqueCount="47">
  <si>
    <t>Project start:</t>
  </si>
  <si>
    <t>Display week:</t>
  </si>
  <si>
    <t>TASK</t>
  </si>
  <si>
    <t>PROGRESS</t>
  </si>
  <si>
    <t>START</t>
  </si>
  <si>
    <t>END</t>
  </si>
  <si>
    <t xml:space="preserve">Do not delete this row. This row is hidden to preserve a formula that is used to highlight the current day within the project schedule. </t>
  </si>
  <si>
    <t>Identificarea sarcinilor</t>
  </si>
  <si>
    <t>Estimarea timpului</t>
  </si>
  <si>
    <t>Planificarea sarcinilor</t>
  </si>
  <si>
    <t>Managementul timpului</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</si>
  <si>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</si>
  <si>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</si>
  <si>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</si>
  <si>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</si>
  <si>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</si>
  <si>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</si>
  <si>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</si>
  <si>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</si>
  <si>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</si>
  <si>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</si>
  <si>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</si>
  <si>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</si>
  <si>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</si>
  <si>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</si>
  <si>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Robot mobil autonom</t>
  </si>
  <si>
    <t>Student: Deaconu Andrei</t>
  </si>
  <si>
    <t>Management</t>
  </si>
  <si>
    <t>Arhitectura hardware (Block Diagram)</t>
  </si>
  <si>
    <t>Arhitectura Sistem</t>
  </si>
  <si>
    <t>Arhitectura Software (State Machine)</t>
  </si>
  <si>
    <t>Dezvoltare hardware</t>
  </si>
  <si>
    <t>Selectie componente</t>
  </si>
  <si>
    <t>Design Circuit (Schema)</t>
  </si>
  <si>
    <t>Proiectare PCB (Layout)</t>
  </si>
  <si>
    <t>Design Mecanic</t>
  </si>
  <si>
    <t xml:space="preserve">Design Sistem tractiune </t>
  </si>
  <si>
    <t>Suport senzori</t>
  </si>
  <si>
    <t>Suport camera</t>
  </si>
  <si>
    <t>Suport baterie</t>
  </si>
  <si>
    <t>Dezvoltare software</t>
  </si>
  <si>
    <t>Firmware (Drivere, Motoare, GPIO)</t>
  </si>
  <si>
    <t>Conectivitate (Wifi, Web Server)</t>
  </si>
  <si>
    <t>Logica Aplicatie (Evitare Obstacole)</t>
  </si>
  <si>
    <t>Testare</t>
  </si>
  <si>
    <t>Testare unitara (Motoare, Video)</t>
  </si>
  <si>
    <t>Testare integrare sistem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</si>
</sst>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sz val="11"/>
      <color rgb="FF1D2129"/>
      <name val="Arial"/>
      <family val="2"/>
      <scheme val="minor"/>
    </font>
    <font>
      <u/>
      <sz val="11"/>
      <color indexed="12"/>
      <name val="Arial"/>
      <family val="2"/>
      <scheme val="minor"/>
    </font>
    <font>
      <b/>
      <sz val="36"/>
      <color theme="9"/>
      <name val="Arial Black"/>
      <family val="2"/>
      <scheme val="major"/>
    </font>
    <font>
      <b/>
      <sz val="14"/>
      <color theme="9"/>
      <name val="Arial"/>
      <family val="2"/>
      <scheme val="minor"/>
    </font>
    <font>
      <b/>
      <sz val="14"/>
      <color theme="9"/>
      <name val="Arial Black"/>
      <family val="2"/>
      <scheme val="major"/>
    </font>
    <font>
      <sz val="14"/>
      <color theme="1"/>
      <name val="Arial Black"/>
      <family val="2"/>
      <scheme val="major"/>
    </font>
  </fonts>
  <fills count="16">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7" tint="-0.249977111117893"/>
        <bgColor indexed="64"/>
      </patternFill>
    </fill>
    <fill>
      <patternFill patternType="solid">
        <fgColor theme="5" tint="-0.249977111117893"/>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6" borderId="20" xfId="0" applyNumberFormat="1" applyFont="1" applyFill="1" applyBorder="1" applyAlignment="1">
      <alignment horizontal="center" vertical="center"/>
    </xf>
    <xf numFmtId="167" fontId="18" fillId="6" borderId="18" xfId="0" applyNumberFormat="1" applyFont="1" applyFill="1" applyBorder="1" applyAlignment="1">
      <alignment horizontal="center" vertical="center"/>
    </xf>
    <xf numFmtId="167" fontId="18" fillId="6"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0" fillId="4" borderId="0" xfId="0" applyFont="1" applyFill="1" applyAlignment="1">
      <alignment horizontal="left" vertical="center" indent="1"/>
    </xf>
    <xf numFmtId="9" fontId="1" fillId="4" borderId="0" xfId="2" applyFont="1" applyFill="1" applyBorder="1" applyAlignment="1">
      <alignment horizontal="center" vertical="center"/>
    </xf>
    <xf numFmtId="164" fontId="16" fillId="4" borderId="0" xfId="0" applyNumberFormat="1" applyFont="1" applyFill="1" applyAlignment="1">
      <alignment horizontal="center" vertical="center"/>
    </xf>
    <xf numFmtId="164" fontId="1" fillId="4" borderId="0" xfId="0" applyNumberFormat="1" applyFont="1" applyFill="1" applyAlignment="1">
      <alignment horizontal="center" vertical="center"/>
    </xf>
    <xf numFmtId="0" fontId="4" fillId="0" borderId="11" xfId="0" applyFont="1" applyBorder="1" applyAlignment="1">
      <alignment vertical="center"/>
    </xf>
    <xf numFmtId="0" fontId="16" fillId="3" borderId="8" xfId="12" applyFont="1" applyFill="1" applyBorder="1">
      <alignment horizontal="left" vertical="center" indent="2"/>
    </xf>
    <xf numFmtId="9" fontId="1" fillId="3" borderId="8" xfId="2" applyFont="1" applyFill="1" applyBorder="1" applyAlignment="1">
      <alignment horizontal="center" vertical="center"/>
    </xf>
    <xf numFmtId="164" fontId="16" fillId="3" borderId="8" xfId="10" applyFont="1" applyFill="1" applyBorder="1">
      <alignment horizontal="center" vertical="center"/>
    </xf>
    <xf numFmtId="0" fontId="4" fillId="0" borderId="10" xfId="0" applyFont="1" applyBorder="1" applyAlignment="1">
      <alignment vertical="center"/>
    </xf>
    <xf numFmtId="0" fontId="21"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2" fillId="0" borderId="0" xfId="0" applyFont="1" applyAlignment="1">
      <alignment horizontal="left" vertical="top" wrapText="1" indent="1"/>
    </xf>
    <xf numFmtId="0" fontId="0" fillId="0" borderId="0" xfId="0" applyAlignment="1">
      <alignment horizontal="left" vertical="top" wrapText="1" indent="1"/>
    </xf>
    <xf numFmtId="0" fontId="23" fillId="0" borderId="0" xfId="1" applyFont="1" applyAlignment="1" applyProtection="1">
      <alignment horizontal="left" vertical="top" indent="1"/>
    </xf>
    <xf numFmtId="0" fontId="1" fillId="0" borderId="0" xfId="0" applyFont="1" applyAlignment="1">
      <alignment horizontal="left" vertical="top" indent="1"/>
    </xf>
    <xf numFmtId="0" fontId="24" fillId="0" borderId="0" xfId="5" applyFont="1" applyAlignment="1">
      <alignment horizontal="left"/>
    </xf>
    <xf numFmtId="0" fontId="4" fillId="0" borderId="4" xfId="0" applyFont="1" applyFill="1" applyBorder="1" applyAlignment="1">
      <alignmen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6" fillId="9" borderId="6" xfId="12" applyFont="1" applyFill="1" applyBorder="1">
      <alignment horizontal="left" vertical="center" indent="2"/>
    </xf>
    <xf numFmtId="9" fontId="1" fillId="9" borderId="6" xfId="2" applyFont="1" applyFill="1" applyBorder="1" applyAlignment="1">
      <alignment horizontal="center" vertical="center"/>
    </xf>
    <xf numFmtId="164" fontId="16" fillId="9" borderId="6" xfId="10" applyFont="1" applyFill="1" applyBorder="1">
      <alignment horizontal="center" vertical="center"/>
    </xf>
    <xf numFmtId="0" fontId="16" fillId="9" borderId="7" xfId="12" applyFont="1" applyFill="1" applyBorder="1">
      <alignment horizontal="left" vertical="center" indent="2"/>
    </xf>
    <xf numFmtId="9" fontId="1" fillId="9" borderId="7" xfId="2" applyFont="1" applyFill="1" applyBorder="1" applyAlignment="1">
      <alignment horizontal="center" vertical="center"/>
    </xf>
    <xf numFmtId="164" fontId="16" fillId="9" borderId="7" xfId="10" applyFont="1" applyFill="1" applyBorder="1">
      <alignment horizontal="center" vertical="center"/>
    </xf>
    <xf numFmtId="0" fontId="16" fillId="12" borderId="5" xfId="12" applyFont="1" applyFill="1" applyBorder="1">
      <alignment horizontal="left" vertical="center" indent="2"/>
    </xf>
    <xf numFmtId="9" fontId="1" fillId="12" borderId="5" xfId="2" applyFont="1" applyFill="1" applyBorder="1" applyAlignment="1">
      <alignment horizontal="center" vertical="center"/>
    </xf>
    <xf numFmtId="164" fontId="16" fillId="12" borderId="5" xfId="10" applyFont="1" applyFill="1" applyBorder="1">
      <alignment horizontal="center" vertical="center"/>
    </xf>
    <xf numFmtId="0" fontId="20" fillId="13" borderId="0" xfId="0" applyFont="1" applyFill="1" applyAlignment="1">
      <alignment horizontal="left" vertical="center" indent="1"/>
    </xf>
    <xf numFmtId="9" fontId="1" fillId="13" borderId="0" xfId="2" applyFont="1" applyFill="1" applyBorder="1" applyAlignment="1">
      <alignment horizontal="center" vertical="center"/>
    </xf>
    <xf numFmtId="164" fontId="16"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6" fillId="2" borderId="9" xfId="12" applyFont="1" applyFill="1" applyBorder="1">
      <alignment horizontal="left" vertical="center" indent="2"/>
    </xf>
    <xf numFmtId="9" fontId="1" fillId="2" borderId="9" xfId="2" applyFont="1" applyFill="1" applyBorder="1" applyAlignment="1">
      <alignment horizontal="center" vertical="center"/>
    </xf>
    <xf numFmtId="164" fontId="16" fillId="2" borderId="9" xfId="10" applyFont="1" applyFill="1" applyBorder="1">
      <alignment horizontal="center" vertical="center"/>
    </xf>
    <xf numFmtId="0" fontId="20" fillId="14" borderId="0" xfId="0" applyFont="1" applyFill="1" applyAlignment="1">
      <alignment horizontal="left" vertical="center" indent="1"/>
    </xf>
    <xf numFmtId="9" fontId="1" fillId="14" borderId="0" xfId="2" applyFont="1" applyFill="1" applyBorder="1" applyAlignment="1">
      <alignment horizontal="center" vertical="center"/>
    </xf>
    <xf numFmtId="164" fontId="16" fillId="14" borderId="0" xfId="0" applyNumberFormat="1" applyFont="1" applyFill="1" applyAlignment="1">
      <alignment horizontal="center" vertical="center"/>
    </xf>
    <xf numFmtId="164" fontId="1" fillId="14" borderId="0" xfId="0" applyNumberFormat="1" applyFont="1" applyFill="1" applyAlignment="1">
      <alignment horizontal="center" vertical="center"/>
    </xf>
    <xf numFmtId="0" fontId="16" fillId="11" borderId="9" xfId="12" applyFont="1" applyFill="1" applyBorder="1">
      <alignment horizontal="left" vertical="center" indent="2"/>
    </xf>
    <xf numFmtId="9" fontId="1" fillId="11" borderId="9" xfId="2" applyFont="1" applyFill="1" applyBorder="1" applyAlignment="1">
      <alignment horizontal="center" vertical="center"/>
    </xf>
    <xf numFmtId="164" fontId="16" fillId="11" borderId="9" xfId="10" applyFont="1" applyFill="1" applyBorder="1">
      <alignment horizontal="center" vertical="center"/>
    </xf>
    <xf numFmtId="0" fontId="20" fillId="15" borderId="0" xfId="0" applyFont="1" applyFill="1" applyAlignment="1">
      <alignment horizontal="left" vertical="center" indent="1"/>
    </xf>
    <xf numFmtId="9" fontId="1" fillId="15" borderId="0" xfId="2" applyFont="1" applyFill="1" applyBorder="1" applyAlignment="1">
      <alignment horizontal="center" vertical="center"/>
    </xf>
    <xf numFmtId="164" fontId="16" fillId="15" borderId="0" xfId="0" applyNumberFormat="1" applyFont="1" applyFill="1" applyAlignment="1">
      <alignment horizontal="center" vertical="center"/>
    </xf>
    <xf numFmtId="164" fontId="1" fillId="15" borderId="0" xfId="0" applyNumberFormat="1" applyFont="1" applyFill="1" applyAlignment="1">
      <alignment horizontal="center" vertical="center"/>
    </xf>
    <xf numFmtId="0" fontId="16" fillId="10" borderId="6" xfId="12" applyFont="1" applyFill="1" applyBorder="1">
      <alignment horizontal="left" vertical="center" indent="2"/>
    </xf>
    <xf numFmtId="9" fontId="1" fillId="10" borderId="6" xfId="2" applyFont="1" applyFill="1" applyBorder="1" applyAlignment="1">
      <alignment horizontal="center" vertical="center"/>
    </xf>
    <xf numFmtId="164" fontId="16" fillId="10" borderId="6" xfId="10" applyFont="1" applyFill="1" applyBorder="1">
      <alignment horizontal="center" vertical="center"/>
    </xf>
    <xf numFmtId="0" fontId="16" fillId="10" borderId="7" xfId="12" applyFont="1" applyFill="1" applyBorder="1">
      <alignment horizontal="left" vertical="center" indent="2"/>
    </xf>
    <xf numFmtId="9" fontId="1" fillId="10" borderId="7" xfId="2" applyFont="1" applyFill="1" applyBorder="1" applyAlignment="1">
      <alignment horizontal="center" vertical="center"/>
    </xf>
    <xf numFmtId="164" fontId="16" fillId="10" borderId="7" xfId="10" applyFont="1" applyFill="1" applyBorder="1">
      <alignment horizontal="center" vertical="center"/>
    </xf>
    <xf numFmtId="166" fontId="16" fillId="2" borderId="13"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0" fontId="26" fillId="0" borderId="0" xfId="0" applyFont="1" applyAlignment="1">
      <alignment horizontal="left"/>
    </xf>
    <xf numFmtId="0" fontId="27" fillId="0" borderId="0" xfId="0" applyFont="1"/>
    <xf numFmtId="165" fontId="26" fillId="0" borderId="0" xfId="9" applyFont="1" applyBorder="1" applyAlignment="1">
      <alignment horizontal="left"/>
    </xf>
    <xf numFmtId="0" fontId="21" fillId="0" borderId="0" xfId="8" applyFont="1" applyAlignment="1">
      <alignment horizontal="left"/>
    </xf>
    <xf numFmtId="0" fontId="4" fillId="0" borderId="0" xfId="0" applyFont="1"/>
    <xf numFmtId="0" fontId="25" fillId="0" borderId="0" xfId="8" applyFont="1" applyAlignment="1">
      <alignment horizontal="left"/>
    </xf>
    <xf numFmtId="0" fontId="5" fillId="0" borderId="0" xfId="0" applyFont="1"/>
    <xf numFmtId="166" fontId="16" fillId="2" borderId="18" xfId="0" applyNumberFormat="1" applyFont="1" applyFill="1" applyBorder="1" applyAlignment="1">
      <alignment horizontal="center" vertical="center" wrapText="1"/>
    </xf>
    <xf numFmtId="0" fontId="11" fillId="0" borderId="0" xfId="3" applyAlignment="1">
      <alignment wrapText="1"/>
    </xf>
    <xf numFmtId="0" fontId="17" fillId="5"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5" borderId="16" xfId="0" applyFont="1" applyFill="1" applyBorder="1" applyAlignment="1">
      <alignment horizontal="center" vertical="center"/>
    </xf>
    <xf numFmtId="0" fontId="4" fillId="2" borderId="21" xfId="0" applyFont="1" applyFill="1" applyBorder="1"/>
  </cellXfs>
  <cellStyles count="13">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builtinId="8" customBuiltin="1"/>
    <cellStyle name="Name" xfId="11"/>
    <cellStyle name="Normal" xfId="0" builtinId="0"/>
    <cellStyle name="Percent" xfId="2" builtinId="5"/>
    <cellStyle name="Project Start" xfId="9"/>
    <cellStyle name="Task" xfId="12"/>
    <cellStyle name="Title" xfId="5" builtinId="15" customBuiltin="1"/>
    <cellStyle name="zHiddenText" xfId="3"/>
  </cellStyles>
  <dxfs count="24">
    <dxf>
      <fill>
        <patternFill>
          <bgColor theme="5" tint="-0.24994659260841701"/>
        </patternFill>
      </fill>
      <border>
        <left/>
        <right/>
      </border>
    </dxf>
    <dxf>
      <fill>
        <patternFill>
          <bgColor theme="5" tint="0.59996337778862885"/>
        </patternFill>
      </fill>
      <border>
        <left/>
        <right/>
      </border>
    </dxf>
    <dxf>
      <fill>
        <patternFill>
          <bgColor theme="7" tint="-0.24994659260841701"/>
        </patternFill>
      </fill>
      <border>
        <left/>
        <right/>
      </border>
    </dxf>
    <dxf>
      <fill>
        <patternFill>
          <bgColor theme="7" tint="0.59996337778862885"/>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0" tint="-0.34998626667073579"/>
        </patternFill>
      </fill>
      <border>
        <left/>
        <right/>
      </border>
    </dxf>
    <dxf>
      <fill>
        <patternFill>
          <bgColor theme="0" tint="-0.14996795556505021"/>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tint="-0.24994659260841701"/>
        </patternFill>
      </fill>
      <border>
        <left/>
        <right/>
        <top style="thin">
          <color theme="0" tint="-4.9989318521683403E-2"/>
        </top>
        <bottom style="thin">
          <color theme="0" tint="-4.9989318521683403E-2"/>
        </bottom>
      </border>
    </dxf>
    <dxf>
      <fill>
        <patternFill>
          <bgColor theme="8" tint="0.59996337778862885"/>
        </patternFill>
      </fill>
    </dxf>
    <dxf>
      <fill>
        <patternFill>
          <bgColor theme="9" tint="-0.24994659260841701"/>
        </patternFill>
      </fill>
      <border>
        <left/>
        <right/>
        <top style="thin">
          <color theme="0" tint="-4.9989318521683403E-2"/>
        </top>
        <bottom style="thin">
          <color theme="0" tint="-4.9989318521683403E-2"/>
        </bottom>
      </border>
    </dxf>
    <dxf>
      <fill>
        <patternFill>
          <bgColor theme="9" tint="0.3999450666829432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xmlns=""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A31"/>
  <sheetViews>
    <sheetView showGridLines="0" tabSelected="1" showRuler="0" topLeftCell="A12" zoomScale="55" zoomScaleNormal="55" zoomScalePageLayoutView="70" workbookViewId="0">
      <selection activeCell="C34" sqref="C34"/>
    </sheetView>
  </sheetViews>
  <sheetFormatPr defaultColWidth="8.6640625" defaultRowHeight="30" customHeight="1" x14ac:dyDescent="0.3"/>
  <cols>
    <col min="1" max="1" width="2.6640625" style="11" customWidth="1"/>
    <col min="2" max="2" width="73.58203125" customWidth="1"/>
    <col min="3" max="3" width="13.6640625" customWidth="1"/>
    <col min="4" max="4" width="10.6640625" style="2" customWidth="1"/>
    <col min="5" max="5" width="10.6640625" customWidth="1"/>
    <col min="6" max="6" width="2.6640625" customWidth="1"/>
    <col min="7" max="7" width="6" hidden="1" customWidth="1"/>
    <col min="8" max="15" width="2.6640625" customWidth="1"/>
    <col min="16" max="16" width="2.33203125" bestFit="1" customWidth="1"/>
    <col min="17" max="24" width="2.6640625" customWidth="1"/>
    <col min="25" max="25" width="2.5" customWidth="1"/>
    <col min="26" max="64" width="2.6640625" customWidth="1"/>
    <col min="65" max="69" width="2.1640625" bestFit="1" customWidth="1"/>
    <col min="70" max="70" width="2.1640625" customWidth="1"/>
    <col min="71" max="71" width="2.1640625" bestFit="1" customWidth="1"/>
    <col min="72" max="72" width="2.83203125" bestFit="1" customWidth="1"/>
    <col min="73" max="73" width="2.5" bestFit="1" customWidth="1"/>
    <col min="74" max="81" width="2.83203125" bestFit="1" customWidth="1"/>
    <col min="82" max="82" width="3.08203125" bestFit="1" customWidth="1"/>
    <col min="83" max="83" width="2.83203125" bestFit="1" customWidth="1"/>
    <col min="84" max="90" width="3.08203125" bestFit="1" customWidth="1"/>
    <col min="91" max="91" width="2.33203125" bestFit="1" customWidth="1"/>
    <col min="92" max="92" width="2.83203125" bestFit="1" customWidth="1"/>
    <col min="93" max="93" width="2.33203125" bestFit="1" customWidth="1"/>
    <col min="94" max="94" width="2.6640625" bestFit="1" customWidth="1"/>
    <col min="95" max="98" width="2.33203125" bestFit="1" customWidth="1"/>
    <col min="99" max="100" width="2.83203125" bestFit="1" customWidth="1"/>
    <col min="101" max="101" width="2.6640625" bestFit="1" customWidth="1"/>
    <col min="102" max="105" width="2.83203125" bestFit="1" customWidth="1"/>
  </cols>
  <sheetData>
    <row r="1" spans="1:105" ht="90" customHeight="1" x14ac:dyDescent="1.5">
      <c r="A1" s="12"/>
      <c r="B1" s="55" t="s">
        <v>25</v>
      </c>
      <c r="C1" s="14"/>
      <c r="D1" s="15"/>
      <c r="E1" s="16"/>
      <c r="G1" s="1"/>
      <c r="H1" s="103" t="s">
        <v>0</v>
      </c>
      <c r="I1" s="104"/>
      <c r="J1" s="104"/>
      <c r="K1" s="104"/>
      <c r="L1" s="104"/>
      <c r="M1" s="104"/>
      <c r="N1" s="104"/>
      <c r="O1" s="19"/>
      <c r="P1" s="102">
        <f>DATE(2025,12,8)</f>
        <v>45999</v>
      </c>
      <c r="Q1" s="101"/>
      <c r="R1" s="101"/>
      <c r="S1" s="101"/>
      <c r="T1" s="101"/>
      <c r="U1" s="101"/>
      <c r="V1" s="101"/>
      <c r="W1" s="101"/>
      <c r="X1" s="101"/>
      <c r="Y1" s="101"/>
    </row>
    <row r="2" spans="1:105" ht="30" customHeight="1" x14ac:dyDescent="0.65">
      <c r="B2" s="47" t="s">
        <v>26</v>
      </c>
      <c r="C2" s="17"/>
      <c r="D2" s="18"/>
      <c r="E2" s="17"/>
      <c r="H2" s="105" t="s">
        <v>1</v>
      </c>
      <c r="I2" s="106"/>
      <c r="J2" s="106"/>
      <c r="K2" s="106"/>
      <c r="L2" s="106"/>
      <c r="M2" s="106"/>
      <c r="N2" s="106"/>
      <c r="O2" s="19"/>
      <c r="P2" s="100">
        <v>1</v>
      </c>
      <c r="Q2" s="101"/>
      <c r="R2" s="101"/>
      <c r="S2" s="101"/>
      <c r="T2" s="101"/>
      <c r="U2" s="101"/>
      <c r="V2" s="101"/>
      <c r="W2" s="101"/>
      <c r="X2" s="101"/>
      <c r="Y2" s="101"/>
    </row>
    <row r="3" spans="1:105" s="21" customFormat="1" ht="30" customHeight="1" x14ac:dyDescent="0.3">
      <c r="A3" s="11"/>
      <c r="B3" s="20"/>
      <c r="C3" s="22"/>
      <c r="D3" s="23"/>
    </row>
    <row r="4" spans="1:105" s="21" customFormat="1" ht="30" customHeight="1" x14ac:dyDescent="0.3">
      <c r="A4" s="12"/>
      <c r="B4" s="24"/>
      <c r="D4" s="25"/>
      <c r="H4" s="107">
        <f>H5</f>
        <v>45999</v>
      </c>
      <c r="I4" s="98"/>
      <c r="J4" s="98"/>
      <c r="K4" s="98"/>
      <c r="L4" s="98"/>
      <c r="M4" s="98"/>
      <c r="N4" s="98"/>
      <c r="O4" s="98">
        <f>O5</f>
        <v>46006</v>
      </c>
      <c r="P4" s="98"/>
      <c r="Q4" s="98"/>
      <c r="R4" s="98"/>
      <c r="S4" s="98"/>
      <c r="T4" s="98"/>
      <c r="U4" s="98"/>
      <c r="V4" s="98">
        <f>V5</f>
        <v>46013</v>
      </c>
      <c r="W4" s="98"/>
      <c r="X4" s="98"/>
      <c r="Y4" s="98"/>
      <c r="Z4" s="98"/>
      <c r="AA4" s="98"/>
      <c r="AB4" s="98"/>
      <c r="AC4" s="98">
        <f>AC5</f>
        <v>46020</v>
      </c>
      <c r="AD4" s="98"/>
      <c r="AE4" s="98"/>
      <c r="AF4" s="98"/>
      <c r="AG4" s="98"/>
      <c r="AH4" s="98"/>
      <c r="AI4" s="98"/>
      <c r="AJ4" s="98">
        <f>AJ5</f>
        <v>46027</v>
      </c>
      <c r="AK4" s="98"/>
      <c r="AL4" s="98"/>
      <c r="AM4" s="98"/>
      <c r="AN4" s="98"/>
      <c r="AO4" s="98"/>
      <c r="AP4" s="98"/>
      <c r="AQ4" s="98">
        <f>AQ5</f>
        <v>46034</v>
      </c>
      <c r="AR4" s="98"/>
      <c r="AS4" s="98"/>
      <c r="AT4" s="98"/>
      <c r="AU4" s="98"/>
      <c r="AV4" s="98"/>
      <c r="AW4" s="98"/>
      <c r="AX4" s="98">
        <f>AX5</f>
        <v>46041</v>
      </c>
      <c r="AY4" s="98"/>
      <c r="AZ4" s="98"/>
      <c r="BA4" s="98"/>
      <c r="BB4" s="98"/>
      <c r="BC4" s="98"/>
      <c r="BD4" s="98"/>
      <c r="BE4" s="98">
        <f>BE5</f>
        <v>46048</v>
      </c>
      <c r="BF4" s="98"/>
      <c r="BG4" s="98"/>
      <c r="BH4" s="98"/>
      <c r="BI4" s="98"/>
      <c r="BJ4" s="98"/>
      <c r="BK4" s="99"/>
      <c r="BL4" s="98">
        <f t="shared" ref="BL4" si="0">BL5</f>
        <v>46055</v>
      </c>
      <c r="BM4" s="98"/>
      <c r="BN4" s="98"/>
      <c r="BO4" s="98"/>
      <c r="BP4" s="98"/>
      <c r="BQ4" s="98"/>
      <c r="BR4" s="99"/>
      <c r="BS4" s="98">
        <f t="shared" ref="BS4" si="1">BS5</f>
        <v>46062</v>
      </c>
      <c r="BT4" s="98"/>
      <c r="BU4" s="98"/>
      <c r="BV4" s="98"/>
      <c r="BW4" s="98"/>
      <c r="BX4" s="98"/>
      <c r="BY4" s="99"/>
      <c r="BZ4" s="98">
        <f t="shared" ref="BZ4" si="2">BZ5</f>
        <v>46069</v>
      </c>
      <c r="CA4" s="98"/>
      <c r="CB4" s="98"/>
      <c r="CC4" s="98"/>
      <c r="CD4" s="98"/>
      <c r="CE4" s="98"/>
      <c r="CF4" s="99"/>
      <c r="CG4" s="98">
        <f t="shared" ref="CG4" si="3">CG5</f>
        <v>46076</v>
      </c>
      <c r="CH4" s="98"/>
      <c r="CI4" s="98"/>
      <c r="CJ4" s="98"/>
      <c r="CK4" s="98"/>
      <c r="CL4" s="98"/>
      <c r="CM4" s="99"/>
      <c r="CN4" s="98">
        <f t="shared" ref="CN4" si="4">CN5</f>
        <v>46083</v>
      </c>
      <c r="CO4" s="98"/>
      <c r="CP4" s="98"/>
      <c r="CQ4" s="98"/>
      <c r="CR4" s="98"/>
      <c r="CS4" s="98"/>
      <c r="CT4" s="99"/>
      <c r="CU4" s="98">
        <f t="shared" ref="CU4" si="5">CU5</f>
        <v>46090</v>
      </c>
      <c r="CV4" s="98"/>
      <c r="CW4" s="98"/>
      <c r="CX4" s="98"/>
      <c r="CY4" s="98"/>
      <c r="CZ4" s="98"/>
      <c r="DA4" s="99"/>
    </row>
    <row r="5" spans="1:105" s="21" customFormat="1" ht="15" customHeight="1" x14ac:dyDescent="0.3">
      <c r="A5" s="108"/>
      <c r="B5" s="109" t="s">
        <v>2</v>
      </c>
      <c r="C5" s="111" t="s">
        <v>3</v>
      </c>
      <c r="D5" s="111" t="s">
        <v>4</v>
      </c>
      <c r="E5" s="111" t="s">
        <v>5</v>
      </c>
      <c r="H5" s="26">
        <f>Project_Start-WEEKDAY(Project_Start,1)+2+7*(Display_Week-1)</f>
        <v>45999</v>
      </c>
      <c r="I5" s="26">
        <f>H5+1</f>
        <v>46000</v>
      </c>
      <c r="J5" s="26">
        <f t="shared" ref="J5:AW5" si="6">I5+1</f>
        <v>46001</v>
      </c>
      <c r="K5" s="26">
        <f t="shared" si="6"/>
        <v>46002</v>
      </c>
      <c r="L5" s="26">
        <f t="shared" si="6"/>
        <v>46003</v>
      </c>
      <c r="M5" s="26">
        <f t="shared" si="6"/>
        <v>46004</v>
      </c>
      <c r="N5" s="27">
        <f t="shared" si="6"/>
        <v>46005</v>
      </c>
      <c r="O5" s="28">
        <f>N5+1</f>
        <v>46006</v>
      </c>
      <c r="P5" s="26">
        <f>O5+1</f>
        <v>46007</v>
      </c>
      <c r="Q5" s="26">
        <f t="shared" si="6"/>
        <v>46008</v>
      </c>
      <c r="R5" s="26">
        <f t="shared" si="6"/>
        <v>46009</v>
      </c>
      <c r="S5" s="26">
        <f t="shared" si="6"/>
        <v>46010</v>
      </c>
      <c r="T5" s="26">
        <f t="shared" si="6"/>
        <v>46011</v>
      </c>
      <c r="U5" s="27">
        <f t="shared" si="6"/>
        <v>46012</v>
      </c>
      <c r="V5" s="28">
        <f>U5+1</f>
        <v>46013</v>
      </c>
      <c r="W5" s="26">
        <f>V5+1</f>
        <v>46014</v>
      </c>
      <c r="X5" s="26">
        <f t="shared" si="6"/>
        <v>46015</v>
      </c>
      <c r="Y5" s="26">
        <f t="shared" si="6"/>
        <v>46016</v>
      </c>
      <c r="Z5" s="26">
        <f t="shared" si="6"/>
        <v>46017</v>
      </c>
      <c r="AA5" s="26">
        <f t="shared" si="6"/>
        <v>46018</v>
      </c>
      <c r="AB5" s="27">
        <f t="shared" si="6"/>
        <v>46019</v>
      </c>
      <c r="AC5" s="28">
        <f>AB5+1</f>
        <v>46020</v>
      </c>
      <c r="AD5" s="26">
        <f>AC5+1</f>
        <v>46021</v>
      </c>
      <c r="AE5" s="26">
        <f t="shared" si="6"/>
        <v>46022</v>
      </c>
      <c r="AF5" s="26">
        <f t="shared" si="6"/>
        <v>46023</v>
      </c>
      <c r="AG5" s="26">
        <f t="shared" si="6"/>
        <v>46024</v>
      </c>
      <c r="AH5" s="26">
        <f t="shared" si="6"/>
        <v>46025</v>
      </c>
      <c r="AI5" s="27">
        <f t="shared" si="6"/>
        <v>46026</v>
      </c>
      <c r="AJ5" s="28">
        <f>AI5+1</f>
        <v>46027</v>
      </c>
      <c r="AK5" s="26">
        <f>AJ5+1</f>
        <v>46028</v>
      </c>
      <c r="AL5" s="26">
        <f t="shared" si="6"/>
        <v>46029</v>
      </c>
      <c r="AM5" s="26">
        <f t="shared" si="6"/>
        <v>46030</v>
      </c>
      <c r="AN5" s="26">
        <f t="shared" si="6"/>
        <v>46031</v>
      </c>
      <c r="AO5" s="26">
        <f t="shared" si="6"/>
        <v>46032</v>
      </c>
      <c r="AP5" s="27">
        <f t="shared" si="6"/>
        <v>46033</v>
      </c>
      <c r="AQ5" s="28">
        <f>AP5+1</f>
        <v>46034</v>
      </c>
      <c r="AR5" s="26">
        <f>AQ5+1</f>
        <v>46035</v>
      </c>
      <c r="AS5" s="26">
        <f t="shared" si="6"/>
        <v>46036</v>
      </c>
      <c r="AT5" s="26">
        <f t="shared" si="6"/>
        <v>46037</v>
      </c>
      <c r="AU5" s="26">
        <f t="shared" si="6"/>
        <v>46038</v>
      </c>
      <c r="AV5" s="26">
        <f t="shared" si="6"/>
        <v>46039</v>
      </c>
      <c r="AW5" s="27">
        <f t="shared" si="6"/>
        <v>46040</v>
      </c>
      <c r="AX5" s="28">
        <f>AW5+1</f>
        <v>46041</v>
      </c>
      <c r="AY5" s="26">
        <f>AX5+1</f>
        <v>46042</v>
      </c>
      <c r="AZ5" s="26">
        <f t="shared" ref="AZ5:BD5" si="7">AY5+1</f>
        <v>46043</v>
      </c>
      <c r="BA5" s="26">
        <f t="shared" si="7"/>
        <v>46044</v>
      </c>
      <c r="BB5" s="26">
        <f t="shared" si="7"/>
        <v>46045</v>
      </c>
      <c r="BC5" s="26">
        <f t="shared" si="7"/>
        <v>46046</v>
      </c>
      <c r="BD5" s="27">
        <f t="shared" si="7"/>
        <v>46047</v>
      </c>
      <c r="BE5" s="28">
        <f>BD5+1</f>
        <v>46048</v>
      </c>
      <c r="BF5" s="26">
        <f>BE5+1</f>
        <v>46049</v>
      </c>
      <c r="BG5" s="26">
        <f t="shared" ref="BG5:BK5" si="8">BF5+1</f>
        <v>46050</v>
      </c>
      <c r="BH5" s="26">
        <f t="shared" si="8"/>
        <v>46051</v>
      </c>
      <c r="BI5" s="26">
        <f t="shared" si="8"/>
        <v>46052</v>
      </c>
      <c r="BJ5" s="26">
        <f t="shared" si="8"/>
        <v>46053</v>
      </c>
      <c r="BK5" s="26">
        <f t="shared" si="8"/>
        <v>46054</v>
      </c>
      <c r="BL5" s="26">
        <f t="shared" ref="BL5" si="9">BK5+1</f>
        <v>46055</v>
      </c>
      <c r="BM5" s="26">
        <f t="shared" ref="BM5" si="10">BL5+1</f>
        <v>46056</v>
      </c>
      <c r="BN5" s="26">
        <f t="shared" ref="BN5" si="11">BM5+1</f>
        <v>46057</v>
      </c>
      <c r="BO5" s="26">
        <f t="shared" ref="BO5" si="12">BN5+1</f>
        <v>46058</v>
      </c>
      <c r="BP5" s="26">
        <f t="shared" ref="BP5" si="13">BO5+1</f>
        <v>46059</v>
      </c>
      <c r="BQ5" s="26">
        <f t="shared" ref="BQ5" si="14">BP5+1</f>
        <v>46060</v>
      </c>
      <c r="BR5" s="26">
        <f t="shared" ref="BR5" si="15">BQ5+1</f>
        <v>46061</v>
      </c>
      <c r="BS5" s="26">
        <f t="shared" ref="BS5" si="16">BR5+1</f>
        <v>46062</v>
      </c>
      <c r="BT5" s="26">
        <f t="shared" ref="BT5" si="17">BS5+1</f>
        <v>46063</v>
      </c>
      <c r="BU5" s="26">
        <f t="shared" ref="BU5" si="18">BT5+1</f>
        <v>46064</v>
      </c>
      <c r="BV5" s="26">
        <f t="shared" ref="BV5" si="19">BU5+1</f>
        <v>46065</v>
      </c>
      <c r="BW5" s="26">
        <f t="shared" ref="BW5" si="20">BV5+1</f>
        <v>46066</v>
      </c>
      <c r="BX5" s="26">
        <f t="shared" ref="BX5" si="21">BW5+1</f>
        <v>46067</v>
      </c>
      <c r="BY5" s="26">
        <f t="shared" ref="BY5" si="22">BX5+1</f>
        <v>46068</v>
      </c>
      <c r="BZ5" s="26">
        <f t="shared" ref="BZ5" si="23">BY5+1</f>
        <v>46069</v>
      </c>
      <c r="CA5" s="26">
        <f t="shared" ref="CA5" si="24">BZ5+1</f>
        <v>46070</v>
      </c>
      <c r="CB5" s="26">
        <f t="shared" ref="CB5" si="25">CA5+1</f>
        <v>46071</v>
      </c>
      <c r="CC5" s="26">
        <f t="shared" ref="CC5" si="26">CB5+1</f>
        <v>46072</v>
      </c>
      <c r="CD5" s="26">
        <f t="shared" ref="CD5" si="27">CC5+1</f>
        <v>46073</v>
      </c>
      <c r="CE5" s="26">
        <f t="shared" ref="CE5" si="28">CD5+1</f>
        <v>46074</v>
      </c>
      <c r="CF5" s="26">
        <f t="shared" ref="CF5" si="29">CE5+1</f>
        <v>46075</v>
      </c>
      <c r="CG5" s="26">
        <f t="shared" ref="CG5" si="30">CF5+1</f>
        <v>46076</v>
      </c>
      <c r="CH5" s="26">
        <f t="shared" ref="CH5" si="31">CG5+1</f>
        <v>46077</v>
      </c>
      <c r="CI5" s="26">
        <f t="shared" ref="CI5" si="32">CH5+1</f>
        <v>46078</v>
      </c>
      <c r="CJ5" s="26">
        <f t="shared" ref="CJ5" si="33">CI5+1</f>
        <v>46079</v>
      </c>
      <c r="CK5" s="26">
        <f t="shared" ref="CK5" si="34">CJ5+1</f>
        <v>46080</v>
      </c>
      <c r="CL5" s="26">
        <f t="shared" ref="CL5" si="35">CK5+1</f>
        <v>46081</v>
      </c>
      <c r="CM5" s="26">
        <f t="shared" ref="CM5" si="36">CL5+1</f>
        <v>46082</v>
      </c>
      <c r="CN5" s="26">
        <f t="shared" ref="CN5" si="37">CM5+1</f>
        <v>46083</v>
      </c>
      <c r="CO5" s="26">
        <f t="shared" ref="CO5" si="38">CN5+1</f>
        <v>46084</v>
      </c>
      <c r="CP5" s="26">
        <f t="shared" ref="CP5" si="39">CO5+1</f>
        <v>46085</v>
      </c>
      <c r="CQ5" s="26">
        <f t="shared" ref="CQ5" si="40">CP5+1</f>
        <v>46086</v>
      </c>
      <c r="CR5" s="26">
        <f t="shared" ref="CR5" si="41">CQ5+1</f>
        <v>46087</v>
      </c>
      <c r="CS5" s="26">
        <f t="shared" ref="CS5" si="42">CR5+1</f>
        <v>46088</v>
      </c>
      <c r="CT5" s="26">
        <f t="shared" ref="CT5" si="43">CS5+1</f>
        <v>46089</v>
      </c>
      <c r="CU5" s="26">
        <f t="shared" ref="CU5" si="44">CT5+1</f>
        <v>46090</v>
      </c>
      <c r="CV5" s="26">
        <f t="shared" ref="CV5" si="45">CU5+1</f>
        <v>46091</v>
      </c>
      <c r="CW5" s="26">
        <f t="shared" ref="CW5" si="46">CV5+1</f>
        <v>46092</v>
      </c>
      <c r="CX5" s="26">
        <f t="shared" ref="CX5" si="47">CW5+1</f>
        <v>46093</v>
      </c>
      <c r="CY5" s="26">
        <f t="shared" ref="CY5" si="48">CX5+1</f>
        <v>46094</v>
      </c>
      <c r="CZ5" s="26">
        <f t="shared" ref="CZ5" si="49">CY5+1</f>
        <v>46095</v>
      </c>
      <c r="DA5" s="26">
        <f t="shared" ref="DA5" si="50">CZ5+1</f>
        <v>46096</v>
      </c>
    </row>
    <row r="6" spans="1:105" s="21" customFormat="1" ht="15" customHeight="1" x14ac:dyDescent="0.3">
      <c r="A6" s="108"/>
      <c r="B6" s="110"/>
      <c r="C6" s="112"/>
      <c r="D6" s="112"/>
      <c r="E6" s="112"/>
      <c r="H6" s="29" t="str">
        <f t="shared" ref="H6:AM6" si="51">LEFT(TEXT(H5,"ddd"),1)</f>
        <v>M</v>
      </c>
      <c r="I6" s="30" t="str">
        <f t="shared" si="51"/>
        <v>T</v>
      </c>
      <c r="J6" s="30" t="str">
        <f t="shared" si="51"/>
        <v>W</v>
      </c>
      <c r="K6" s="30" t="str">
        <f t="shared" si="51"/>
        <v>T</v>
      </c>
      <c r="L6" s="30" t="str">
        <f t="shared" si="51"/>
        <v>F</v>
      </c>
      <c r="M6" s="30" t="str">
        <f t="shared" si="51"/>
        <v>S</v>
      </c>
      <c r="N6" s="30" t="str">
        <f t="shared" si="51"/>
        <v>S</v>
      </c>
      <c r="O6" s="30" t="str">
        <f t="shared" si="51"/>
        <v>M</v>
      </c>
      <c r="P6" s="30" t="str">
        <f t="shared" si="51"/>
        <v>T</v>
      </c>
      <c r="Q6" s="30" t="str">
        <f t="shared" si="51"/>
        <v>W</v>
      </c>
      <c r="R6" s="30" t="str">
        <f t="shared" si="51"/>
        <v>T</v>
      </c>
      <c r="S6" s="30" t="str">
        <f t="shared" si="51"/>
        <v>F</v>
      </c>
      <c r="T6" s="30" t="str">
        <f t="shared" si="51"/>
        <v>S</v>
      </c>
      <c r="U6" s="30" t="str">
        <f t="shared" si="51"/>
        <v>S</v>
      </c>
      <c r="V6" s="30" t="str">
        <f t="shared" si="51"/>
        <v>M</v>
      </c>
      <c r="W6" s="30" t="str">
        <f t="shared" si="51"/>
        <v>T</v>
      </c>
      <c r="X6" s="30" t="str">
        <f t="shared" si="51"/>
        <v>W</v>
      </c>
      <c r="Y6" s="30" t="str">
        <f t="shared" si="51"/>
        <v>T</v>
      </c>
      <c r="Z6" s="30" t="str">
        <f t="shared" si="51"/>
        <v>F</v>
      </c>
      <c r="AA6" s="30" t="str">
        <f t="shared" si="51"/>
        <v>S</v>
      </c>
      <c r="AB6" s="30" t="str">
        <f t="shared" si="51"/>
        <v>S</v>
      </c>
      <c r="AC6" s="30" t="str">
        <f t="shared" si="51"/>
        <v>M</v>
      </c>
      <c r="AD6" s="30" t="str">
        <f t="shared" si="51"/>
        <v>T</v>
      </c>
      <c r="AE6" s="30" t="str">
        <f t="shared" si="51"/>
        <v>W</v>
      </c>
      <c r="AF6" s="30" t="str">
        <f t="shared" si="51"/>
        <v>T</v>
      </c>
      <c r="AG6" s="30" t="str">
        <f t="shared" si="51"/>
        <v>F</v>
      </c>
      <c r="AH6" s="30" t="str">
        <f t="shared" si="51"/>
        <v>S</v>
      </c>
      <c r="AI6" s="30" t="str">
        <f t="shared" si="51"/>
        <v>S</v>
      </c>
      <c r="AJ6" s="30" t="str">
        <f t="shared" si="51"/>
        <v>M</v>
      </c>
      <c r="AK6" s="30" t="str">
        <f t="shared" si="51"/>
        <v>T</v>
      </c>
      <c r="AL6" s="30" t="str">
        <f t="shared" si="51"/>
        <v>W</v>
      </c>
      <c r="AM6" s="30" t="str">
        <f t="shared" si="51"/>
        <v>T</v>
      </c>
      <c r="AN6" s="30" t="str">
        <f t="shared" ref="AN6:CM6" si="52">LEFT(TEXT(AN5,"ddd"),1)</f>
        <v>F</v>
      </c>
      <c r="AO6" s="30" t="str">
        <f t="shared" si="52"/>
        <v>S</v>
      </c>
      <c r="AP6" s="30" t="str">
        <f t="shared" si="52"/>
        <v>S</v>
      </c>
      <c r="AQ6" s="30" t="str">
        <f t="shared" si="52"/>
        <v>M</v>
      </c>
      <c r="AR6" s="30" t="str">
        <f t="shared" si="52"/>
        <v>T</v>
      </c>
      <c r="AS6" s="30" t="str">
        <f t="shared" si="52"/>
        <v>W</v>
      </c>
      <c r="AT6" s="30" t="str">
        <f t="shared" si="52"/>
        <v>T</v>
      </c>
      <c r="AU6" s="30" t="str">
        <f t="shared" si="52"/>
        <v>F</v>
      </c>
      <c r="AV6" s="30" t="str">
        <f t="shared" si="52"/>
        <v>S</v>
      </c>
      <c r="AW6" s="30" t="str">
        <f t="shared" si="52"/>
        <v>S</v>
      </c>
      <c r="AX6" s="30" t="str">
        <f t="shared" si="52"/>
        <v>M</v>
      </c>
      <c r="AY6" s="30" t="str">
        <f t="shared" si="52"/>
        <v>T</v>
      </c>
      <c r="AZ6" s="30" t="str">
        <f t="shared" si="52"/>
        <v>W</v>
      </c>
      <c r="BA6" s="30" t="str">
        <f t="shared" si="52"/>
        <v>T</v>
      </c>
      <c r="BB6" s="30" t="str">
        <f t="shared" si="52"/>
        <v>F</v>
      </c>
      <c r="BC6" s="30" t="str">
        <f t="shared" si="52"/>
        <v>S</v>
      </c>
      <c r="BD6" s="30" t="str">
        <f t="shared" si="52"/>
        <v>S</v>
      </c>
      <c r="BE6" s="30" t="str">
        <f t="shared" si="52"/>
        <v>M</v>
      </c>
      <c r="BF6" s="30" t="str">
        <f t="shared" si="52"/>
        <v>T</v>
      </c>
      <c r="BG6" s="30" t="str">
        <f t="shared" si="52"/>
        <v>W</v>
      </c>
      <c r="BH6" s="30" t="str">
        <f t="shared" si="52"/>
        <v>T</v>
      </c>
      <c r="BI6" s="30" t="str">
        <f t="shared" si="52"/>
        <v>F</v>
      </c>
      <c r="BJ6" s="30" t="str">
        <f t="shared" si="52"/>
        <v>S</v>
      </c>
      <c r="BK6" s="31" t="str">
        <f t="shared" si="52"/>
        <v>S</v>
      </c>
      <c r="BL6" s="31" t="str">
        <f t="shared" si="52"/>
        <v>M</v>
      </c>
      <c r="BM6" s="31" t="str">
        <f t="shared" si="52"/>
        <v>T</v>
      </c>
      <c r="BN6" s="31" t="str">
        <f t="shared" si="52"/>
        <v>W</v>
      </c>
      <c r="BO6" s="31" t="str">
        <f t="shared" si="52"/>
        <v>T</v>
      </c>
      <c r="BP6" s="31" t="str">
        <f t="shared" si="52"/>
        <v>F</v>
      </c>
      <c r="BQ6" s="31" t="str">
        <f t="shared" si="52"/>
        <v>S</v>
      </c>
      <c r="BR6" s="31" t="str">
        <f t="shared" si="52"/>
        <v>S</v>
      </c>
      <c r="BS6" s="31" t="str">
        <f t="shared" si="52"/>
        <v>M</v>
      </c>
      <c r="BT6" s="31" t="str">
        <f t="shared" si="52"/>
        <v>T</v>
      </c>
      <c r="BU6" s="31" t="str">
        <f t="shared" si="52"/>
        <v>W</v>
      </c>
      <c r="BV6" s="31" t="str">
        <f t="shared" si="52"/>
        <v>T</v>
      </c>
      <c r="BW6" s="31" t="str">
        <f t="shared" si="52"/>
        <v>F</v>
      </c>
      <c r="BX6" s="31" t="str">
        <f t="shared" si="52"/>
        <v>S</v>
      </c>
      <c r="BY6" s="31" t="str">
        <f t="shared" si="52"/>
        <v>S</v>
      </c>
      <c r="BZ6" s="31" t="str">
        <f t="shared" si="52"/>
        <v>M</v>
      </c>
      <c r="CA6" s="31" t="str">
        <f t="shared" si="52"/>
        <v>T</v>
      </c>
      <c r="CB6" s="31" t="str">
        <f t="shared" si="52"/>
        <v>W</v>
      </c>
      <c r="CC6" s="31" t="str">
        <f t="shared" si="52"/>
        <v>T</v>
      </c>
      <c r="CD6" s="31" t="str">
        <f t="shared" si="52"/>
        <v>F</v>
      </c>
      <c r="CE6" s="31" t="str">
        <f t="shared" si="52"/>
        <v>S</v>
      </c>
      <c r="CF6" s="31" t="str">
        <f t="shared" si="52"/>
        <v>S</v>
      </c>
      <c r="CG6" s="31" t="str">
        <f t="shared" si="52"/>
        <v>M</v>
      </c>
      <c r="CH6" s="31" t="str">
        <f t="shared" si="52"/>
        <v>T</v>
      </c>
      <c r="CI6" s="31" t="str">
        <f t="shared" si="52"/>
        <v>W</v>
      </c>
      <c r="CJ6" s="31" t="str">
        <f t="shared" si="52"/>
        <v>T</v>
      </c>
      <c r="CK6" s="31" t="str">
        <f t="shared" si="52"/>
        <v>F</v>
      </c>
      <c r="CL6" s="31" t="str">
        <f t="shared" si="52"/>
        <v>S</v>
      </c>
      <c r="CM6" s="31" t="str">
        <f t="shared" si="52"/>
        <v>S</v>
      </c>
      <c r="CN6" s="31" t="str">
        <f t="shared" ref="CN6:DA6" si="53">LEFT(TEXT(CN5,"ddd"),1)</f>
        <v>M</v>
      </c>
      <c r="CO6" s="31" t="str">
        <f t="shared" si="53"/>
        <v>T</v>
      </c>
      <c r="CP6" s="31" t="str">
        <f t="shared" si="53"/>
        <v>W</v>
      </c>
      <c r="CQ6" s="31" t="str">
        <f t="shared" si="53"/>
        <v>T</v>
      </c>
      <c r="CR6" s="31" t="str">
        <f t="shared" si="53"/>
        <v>F</v>
      </c>
      <c r="CS6" s="31" t="str">
        <f t="shared" si="53"/>
        <v>S</v>
      </c>
      <c r="CT6" s="31" t="str">
        <f t="shared" si="53"/>
        <v>S</v>
      </c>
      <c r="CU6" s="31" t="str">
        <f t="shared" si="53"/>
        <v>M</v>
      </c>
      <c r="CV6" s="31" t="str">
        <f t="shared" si="53"/>
        <v>T</v>
      </c>
      <c r="CW6" s="31" t="str">
        <f t="shared" si="53"/>
        <v>W</v>
      </c>
      <c r="CX6" s="31" t="str">
        <f t="shared" si="53"/>
        <v>T</v>
      </c>
      <c r="CY6" s="31" t="str">
        <f t="shared" si="53"/>
        <v>F</v>
      </c>
      <c r="CZ6" s="31" t="str">
        <f t="shared" si="53"/>
        <v>S</v>
      </c>
      <c r="DA6" s="31" t="str">
        <f t="shared" si="53"/>
        <v>S</v>
      </c>
    </row>
    <row r="7" spans="1:105" s="21" customFormat="1" ht="30" hidden="1" customHeight="1" x14ac:dyDescent="0.3">
      <c r="A7" s="11" t="s">
        <v>6</v>
      </c>
      <c r="B7" s="32"/>
      <c r="C7" s="32"/>
      <c r="D7" s="32"/>
      <c r="E7" s="32"/>
      <c r="G7" s="21"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row>
    <row r="8" spans="1:105" s="35" customFormat="1" ht="30" customHeight="1" x14ac:dyDescent="0.3">
      <c r="A8" s="12"/>
      <c r="B8" s="61" t="s">
        <v>27</v>
      </c>
      <c r="C8" s="62"/>
      <c r="D8" s="63"/>
      <c r="E8" s="64"/>
      <c r="F8" s="13"/>
      <c r="G8" s="4" t="str">
        <f t="shared" ref="G8:G25" si="54">IF(OR(ISBLANK(task_start),ISBLANK(task_end)),"",task_end-task_start+1)</f>
        <v/>
      </c>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row>
    <row r="9" spans="1:105" s="35" customFormat="1" ht="30" customHeight="1" x14ac:dyDescent="0.3">
      <c r="A9" s="12"/>
      <c r="B9" s="65" t="s">
        <v>7</v>
      </c>
      <c r="C9" s="66">
        <v>1</v>
      </c>
      <c r="D9" s="67">
        <f>Project_Start</f>
        <v>45999</v>
      </c>
      <c r="E9" s="67">
        <f>DATE(2025, 12,10)</f>
        <v>46001</v>
      </c>
      <c r="F9" s="13"/>
      <c r="G9" s="4">
        <f t="shared" si="54"/>
        <v>3</v>
      </c>
      <c r="H9" s="36"/>
      <c r="I9" s="36"/>
      <c r="J9" s="5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row>
    <row r="10" spans="1:105" s="35" customFormat="1" ht="30" customHeight="1" x14ac:dyDescent="0.3">
      <c r="A10" s="12"/>
      <c r="B10" s="68" t="s">
        <v>8</v>
      </c>
      <c r="C10" s="69">
        <v>0</v>
      </c>
      <c r="D10" s="70">
        <f>DATE(2025, 12,10)</f>
        <v>46001</v>
      </c>
      <c r="E10" s="70">
        <f>DATE(2025, 12,11)</f>
        <v>46002</v>
      </c>
      <c r="F10" s="13"/>
      <c r="G10" s="4">
        <f t="shared" si="54"/>
        <v>2</v>
      </c>
      <c r="H10" s="36"/>
      <c r="I10" s="36"/>
      <c r="J10" s="56"/>
      <c r="K10" s="36"/>
      <c r="L10" s="36"/>
      <c r="M10" s="36"/>
      <c r="N10" s="36"/>
      <c r="O10" s="36"/>
      <c r="P10" s="36"/>
      <c r="Q10" s="36"/>
      <c r="R10" s="36"/>
      <c r="S10" s="36"/>
      <c r="T10" s="37"/>
      <c r="U10" s="37"/>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row>
    <row r="11" spans="1:105" s="35" customFormat="1" ht="30" customHeight="1" x14ac:dyDescent="0.3">
      <c r="A11" s="11"/>
      <c r="B11" s="68" t="s">
        <v>9</v>
      </c>
      <c r="C11" s="69">
        <v>0.5</v>
      </c>
      <c r="D11" s="70">
        <f>DATE(2025, 12,11)</f>
        <v>46002</v>
      </c>
      <c r="E11" s="70">
        <f>DATE(2025, 12,12)</f>
        <v>46003</v>
      </c>
      <c r="F11" s="13"/>
      <c r="G11" s="4">
        <f t="shared" si="54"/>
        <v>2</v>
      </c>
      <c r="H11" s="36"/>
      <c r="I11" s="36"/>
      <c r="J11" s="5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row>
    <row r="12" spans="1:105" s="35" customFormat="1" ht="30" customHeight="1" x14ac:dyDescent="0.3">
      <c r="A12" s="11"/>
      <c r="B12" s="68" t="s">
        <v>10</v>
      </c>
      <c r="C12" s="69">
        <v>0</v>
      </c>
      <c r="D12" s="70">
        <f>DATE(2025, 12,13)</f>
        <v>46004</v>
      </c>
      <c r="E12" s="70">
        <f>DATE(2025, 12,14)</f>
        <v>46005</v>
      </c>
      <c r="F12" s="13"/>
      <c r="G12" s="4">
        <f t="shared" si="54"/>
        <v>2</v>
      </c>
      <c r="H12" s="36"/>
      <c r="I12" s="36"/>
      <c r="J12" s="56"/>
      <c r="K12" s="36"/>
      <c r="L12" s="36"/>
      <c r="M12" s="36"/>
      <c r="N12" s="56"/>
      <c r="O12" s="36"/>
      <c r="P12" s="36"/>
      <c r="Q12" s="36"/>
      <c r="R12" s="36"/>
      <c r="S12" s="36"/>
      <c r="T12" s="36"/>
      <c r="U12" s="36"/>
      <c r="V12" s="36"/>
      <c r="W12" s="36"/>
      <c r="X12" s="37"/>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row>
    <row r="13" spans="1:105" s="35" customFormat="1" ht="30" customHeight="1" x14ac:dyDescent="0.3">
      <c r="A13" s="12"/>
      <c r="B13" s="57" t="s">
        <v>29</v>
      </c>
      <c r="C13" s="58"/>
      <c r="D13" s="59"/>
      <c r="E13" s="60"/>
      <c r="F13" s="13"/>
      <c r="G13" s="4" t="str">
        <f t="shared" si="54"/>
        <v/>
      </c>
    </row>
    <row r="14" spans="1:105" s="35" customFormat="1" ht="30" customHeight="1" x14ac:dyDescent="0.3">
      <c r="A14" s="12"/>
      <c r="B14" s="71" t="s">
        <v>28</v>
      </c>
      <c r="C14" s="72">
        <v>0</v>
      </c>
      <c r="D14" s="73">
        <f>DATE(2025, 12,15)</f>
        <v>46006</v>
      </c>
      <c r="E14" s="73">
        <f>D14+3</f>
        <v>46009</v>
      </c>
      <c r="F14" s="13"/>
      <c r="G14" s="4">
        <f t="shared" si="54"/>
        <v>4</v>
      </c>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row>
    <row r="15" spans="1:105" s="35" customFormat="1" ht="30" customHeight="1" thickBot="1" x14ac:dyDescent="0.35">
      <c r="A15" s="11"/>
      <c r="B15" s="71" t="s">
        <v>30</v>
      </c>
      <c r="C15" s="72">
        <v>0</v>
      </c>
      <c r="D15" s="73">
        <f>DATE(2025, 12,19)</f>
        <v>46010</v>
      </c>
      <c r="E15" s="73">
        <f>D15+5</f>
        <v>46015</v>
      </c>
      <c r="F15" s="13"/>
      <c r="G15" s="4">
        <f t="shared" si="54"/>
        <v>6</v>
      </c>
      <c r="H15" s="36"/>
      <c r="I15" s="36"/>
      <c r="J15" s="36"/>
      <c r="K15" s="36"/>
      <c r="L15" s="36"/>
      <c r="M15" s="36"/>
      <c r="N15" s="36"/>
      <c r="O15" s="36"/>
      <c r="P15" s="36"/>
      <c r="Q15" s="36"/>
      <c r="R15" s="36"/>
      <c r="S15" s="36"/>
      <c r="T15" s="37"/>
      <c r="U15" s="37"/>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row>
    <row r="16" spans="1:105" s="35" customFormat="1" ht="30" customHeight="1" thickBot="1" x14ac:dyDescent="0.35">
      <c r="A16" s="11"/>
      <c r="B16" s="38" t="s">
        <v>31</v>
      </c>
      <c r="C16" s="39"/>
      <c r="D16" s="40"/>
      <c r="E16" s="41"/>
      <c r="F16" s="13"/>
      <c r="G16" s="4" t="str">
        <f t="shared" si="54"/>
        <v/>
      </c>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row>
    <row r="17" spans="1:105" s="35" customFormat="1" ht="30" customHeight="1" x14ac:dyDescent="0.3">
      <c r="A17" s="11"/>
      <c r="B17" s="43" t="s">
        <v>32</v>
      </c>
      <c r="C17" s="44">
        <v>0</v>
      </c>
      <c r="D17" s="45">
        <f>DATE(2026, 1,6)</f>
        <v>46028</v>
      </c>
      <c r="E17" s="45">
        <f>D17+3</f>
        <v>46031</v>
      </c>
      <c r="F17" s="13"/>
      <c r="G17" s="4">
        <f t="shared" si="54"/>
        <v>4</v>
      </c>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row>
    <row r="18" spans="1:105" s="35" customFormat="1" ht="30" customHeight="1" thickBot="1" x14ac:dyDescent="0.35">
      <c r="A18" s="11"/>
      <c r="B18" s="43" t="s">
        <v>33</v>
      </c>
      <c r="C18" s="44">
        <v>0</v>
      </c>
      <c r="D18" s="45">
        <f>E17+1</f>
        <v>46032</v>
      </c>
      <c r="E18" s="45">
        <f>D18+10</f>
        <v>46042</v>
      </c>
      <c r="F18" s="13"/>
      <c r="G18" s="4">
        <f t="shared" si="54"/>
        <v>11</v>
      </c>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row>
    <row r="19" spans="1:105" s="35" customFormat="1" ht="30" customHeight="1" thickBot="1" x14ac:dyDescent="0.35">
      <c r="A19" s="11"/>
      <c r="B19" s="43" t="s">
        <v>34</v>
      </c>
      <c r="C19" s="44">
        <v>0</v>
      </c>
      <c r="D19" s="45">
        <f>DATE(2026,1,21)</f>
        <v>46043</v>
      </c>
      <c r="E19" s="45">
        <f>D19+10</f>
        <v>46053</v>
      </c>
      <c r="F19" s="13"/>
      <c r="G19" s="4">
        <f t="shared" si="54"/>
        <v>11</v>
      </c>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row>
    <row r="20" spans="1:105" s="35" customFormat="1" ht="30" customHeight="1" x14ac:dyDescent="0.3">
      <c r="A20" s="11"/>
      <c r="B20" s="74" t="s">
        <v>35</v>
      </c>
      <c r="C20" s="75"/>
      <c r="D20" s="76"/>
      <c r="E20" s="77"/>
      <c r="F20" s="13"/>
      <c r="G20" s="4" t="str">
        <f t="shared" si="54"/>
        <v/>
      </c>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row>
    <row r="21" spans="1:105" s="35" customFormat="1" ht="30" customHeight="1" x14ac:dyDescent="0.3">
      <c r="A21" s="11"/>
      <c r="B21" s="78" t="s">
        <v>36</v>
      </c>
      <c r="C21" s="79">
        <v>0</v>
      </c>
      <c r="D21" s="80">
        <f>DATE(2026,1,31)</f>
        <v>46053</v>
      </c>
      <c r="E21" s="80">
        <f>D21+5</f>
        <v>46058</v>
      </c>
      <c r="F21" s="13"/>
      <c r="G21" s="4">
        <f t="shared" si="54"/>
        <v>6</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row>
    <row r="22" spans="1:105" s="35" customFormat="1" ht="30" customHeight="1" x14ac:dyDescent="0.3">
      <c r="A22" s="11"/>
      <c r="B22" s="78" t="s">
        <v>37</v>
      </c>
      <c r="C22" s="79">
        <v>0</v>
      </c>
      <c r="D22" s="80">
        <f>E21</f>
        <v>46058</v>
      </c>
      <c r="E22" s="80">
        <f>D22+4</f>
        <v>46062</v>
      </c>
      <c r="F22" s="13"/>
      <c r="G22" s="4">
        <f t="shared" si="54"/>
        <v>5</v>
      </c>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row>
    <row r="23" spans="1:105" s="35" customFormat="1" ht="30" customHeight="1" x14ac:dyDescent="0.3">
      <c r="A23" s="11"/>
      <c r="B23" s="78" t="s">
        <v>38</v>
      </c>
      <c r="C23" s="79">
        <v>0</v>
      </c>
      <c r="D23" s="80">
        <f>E22+1</f>
        <v>46063</v>
      </c>
      <c r="E23" s="80">
        <f>D23+3</f>
        <v>46066</v>
      </c>
      <c r="F23" s="13"/>
      <c r="G23" s="4">
        <f t="shared" si="54"/>
        <v>4</v>
      </c>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row>
    <row r="24" spans="1:105" s="35" customFormat="1" ht="30" customHeight="1" x14ac:dyDescent="0.3">
      <c r="A24" s="11"/>
      <c r="B24" s="78" t="s">
        <v>39</v>
      </c>
      <c r="C24" s="79">
        <v>0</v>
      </c>
      <c r="D24" s="80">
        <f>D21+5</f>
        <v>46058</v>
      </c>
      <c r="E24" s="80">
        <f>D24+3</f>
        <v>46061</v>
      </c>
      <c r="F24" s="13"/>
      <c r="G24" s="4">
        <f t="shared" si="54"/>
        <v>4</v>
      </c>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row>
    <row r="25" spans="1:105" s="35" customFormat="1" ht="30" customHeight="1" x14ac:dyDescent="0.3">
      <c r="A25" s="11"/>
      <c r="B25" s="81" t="s">
        <v>40</v>
      </c>
      <c r="C25" s="82"/>
      <c r="D25" s="83"/>
      <c r="E25" s="84"/>
      <c r="F25" s="13"/>
      <c r="G25" s="4" t="str">
        <f t="shared" si="54"/>
        <v/>
      </c>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row>
    <row r="26" spans="1:105" ht="30" customHeight="1" x14ac:dyDescent="0.3">
      <c r="B26" s="85" t="s">
        <v>41</v>
      </c>
      <c r="C26" s="86">
        <v>0</v>
      </c>
      <c r="D26" s="87">
        <f>D24+6</f>
        <v>46064</v>
      </c>
      <c r="E26" s="87">
        <f>D26+5</f>
        <v>46069</v>
      </c>
      <c r="F26" s="3"/>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row>
    <row r="27" spans="1:105" ht="30" customHeight="1" x14ac:dyDescent="0.3">
      <c r="B27" s="85" t="s">
        <v>42</v>
      </c>
      <c r="C27" s="86">
        <v>0</v>
      </c>
      <c r="D27" s="87">
        <f>E26</f>
        <v>46069</v>
      </c>
      <c r="E27" s="87">
        <f>D27+4</f>
        <v>46073</v>
      </c>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row>
    <row r="28" spans="1:105" ht="30" customHeight="1" x14ac:dyDescent="0.3">
      <c r="B28" s="85" t="s">
        <v>43</v>
      </c>
      <c r="C28" s="86">
        <v>0</v>
      </c>
      <c r="D28" s="87">
        <f>E27+1</f>
        <v>46074</v>
      </c>
      <c r="E28" s="87">
        <f>D28+10</f>
        <v>46084</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row>
    <row r="29" spans="1:105" ht="30" customHeight="1" x14ac:dyDescent="0.3">
      <c r="B29" s="88" t="s">
        <v>44</v>
      </c>
      <c r="C29" s="89"/>
      <c r="D29" s="90"/>
      <c r="E29" s="91"/>
    </row>
    <row r="30" spans="1:105" ht="30" customHeight="1" x14ac:dyDescent="0.3">
      <c r="B30" s="92" t="s">
        <v>45</v>
      </c>
      <c r="C30" s="93">
        <v>0</v>
      </c>
      <c r="D30" s="94">
        <f>E28+1</f>
        <v>46085</v>
      </c>
      <c r="E30" s="94">
        <f>D30+3</f>
        <v>46088</v>
      </c>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row>
    <row r="31" spans="1:105" ht="30" customHeight="1" x14ac:dyDescent="0.3">
      <c r="B31" s="95" t="s">
        <v>46</v>
      </c>
      <c r="C31" s="96">
        <v>0</v>
      </c>
      <c r="D31" s="97">
        <f>E30+1</f>
        <v>46089</v>
      </c>
      <c r="E31" s="97">
        <f>D31+2</f>
        <v>46091</v>
      </c>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row>
  </sheetData>
  <mergeCells count="23">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 ref="CU4:DA4"/>
    <mergeCell ref="BL4:BR4"/>
    <mergeCell ref="BS4:BY4"/>
    <mergeCell ref="BZ4:CF4"/>
    <mergeCell ref="CG4:CM4"/>
    <mergeCell ref="CN4:CT4"/>
  </mergeCells>
  <conditionalFormatting sqref="C7:C24">
    <cfRule type="dataBar" priority="3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24 BL4:DA6 BL9:DA12 BL14:DA15 BL17:DA19 BL21:DA24">
    <cfRule type="expression" dxfId="14" priority="9">
      <formula>AND(TODAY()&gt;=H$5, TODAY()&lt;I$5)</formula>
    </cfRule>
  </conditionalFormatting>
  <conditionalFormatting sqref="H9:DA12">
    <cfRule type="expression" dxfId="13" priority="14">
      <formula>AND(task_start&lt;=H$5,ROUNDDOWN((task_end-task_start+1)*task_progress,0)+task_start-1&gt;=H$5)</formula>
    </cfRule>
    <cfRule type="expression" dxfId="12" priority="15" stopIfTrue="1">
      <formula>AND(task_end&gt;=H$5,task_start&lt;I$5)</formula>
    </cfRule>
  </conditionalFormatting>
  <conditionalFormatting sqref="H14:DA15">
    <cfRule type="expression" dxfId="11" priority="12">
      <formula>AND(task_start&lt;=H$5,ROUNDDOWN((task_end-task_start+1)*task_progress,0)+task_start-1&gt;=H$5)</formula>
    </cfRule>
    <cfRule type="expression" dxfId="10" priority="13" stopIfTrue="1">
      <formula>AND(task_end&gt;=H$5,task_start&lt;I$5)</formula>
    </cfRule>
  </conditionalFormatting>
  <conditionalFormatting sqref="H17:DA19">
    <cfRule type="expression" dxfId="9" priority="10">
      <formula>AND(task_start&lt;=H$5,ROUNDDOWN((task_end-task_start+1)*task_progress,0)+task_start-1&gt;=H$5)</formula>
    </cfRule>
    <cfRule type="expression" dxfId="8" priority="11" stopIfTrue="1">
      <formula>AND(task_end&gt;=H$5,task_start&lt;I$5)</formula>
    </cfRule>
  </conditionalFormatting>
  <conditionalFormatting sqref="H21:DA24">
    <cfRule type="expression" dxfId="7" priority="44">
      <formula>AND(task_start&lt;=H$5,ROUNDDOWN((task_end-task_start+1)*task_progress,0)+task_start-1&gt;=H$5)</formula>
    </cfRule>
    <cfRule type="expression" dxfId="6" priority="45" stopIfTrue="1">
      <formula>AND(task_end&gt;=H$5,task_start&lt;I$5)</formula>
    </cfRule>
  </conditionalFormatting>
  <conditionalFormatting sqref="C25:C28">
    <cfRule type="dataBar" priority="8">
      <dataBar>
        <cfvo type="num" val="0"/>
        <cfvo type="num" val="1"/>
        <color theme="0"/>
      </dataBar>
      <extLst>
        <ext xmlns:x14="http://schemas.microsoft.com/office/spreadsheetml/2009/9/main" uri="{B025F937-C7B1-47D3-B67F-A62EFF666E3E}">
          <x14:id>{1C216394-20E1-4C04-9867-D7FED533BE0E}</x14:id>
        </ext>
      </extLst>
    </cfRule>
  </conditionalFormatting>
  <conditionalFormatting sqref="C29:C31">
    <cfRule type="dataBar" priority="7">
      <dataBar>
        <cfvo type="num" val="0"/>
        <cfvo type="num" val="1"/>
        <color theme="0"/>
      </dataBar>
      <extLst>
        <ext xmlns:x14="http://schemas.microsoft.com/office/spreadsheetml/2009/9/main" uri="{B025F937-C7B1-47D3-B67F-A62EFF666E3E}">
          <x14:id>{3E8D0838-B5F6-4002-A217-F304415BABC2}</x14:id>
        </ext>
      </extLst>
    </cfRule>
  </conditionalFormatting>
  <conditionalFormatting sqref="H30:DA31">
    <cfRule type="expression" dxfId="5" priority="1">
      <formula>AND(TODAY()&gt;=H$5, TODAY()&lt;I$5)</formula>
    </cfRule>
  </conditionalFormatting>
  <conditionalFormatting sqref="H26:DA28">
    <cfRule type="expression" dxfId="4" priority="4">
      <formula>AND(TODAY()&gt;=H$5, TODAY()&lt;I$5)</formula>
    </cfRule>
  </conditionalFormatting>
  <conditionalFormatting sqref="H26:DA28">
    <cfRule type="expression" dxfId="3" priority="5">
      <formula>AND(task_start&lt;=H$5,ROUNDDOWN((task_end-task_start+1)*task_progress,0)+task_start-1&gt;=H$5)</formula>
    </cfRule>
    <cfRule type="expression" dxfId="2" priority="6" stopIfTrue="1">
      <formula>AND(task_end&gt;=H$5,task_start&lt;I$5)</formula>
    </cfRule>
  </conditionalFormatting>
  <conditionalFormatting sqref="H30:DA31">
    <cfRule type="expression" dxfId="1" priority="2">
      <formula>AND(task_start&lt;=H$5,ROUNDDOWN((task_end-task_start+1)*task_progress,0)+task_start-1&gt;=H$5)</formula>
    </cfRule>
    <cfRule type="expression" dxfId="0" priority="3" stopIfTrue="1">
      <formula>AND(task_end&gt;=H$5,task_start&lt;I$5)</formula>
    </cfRule>
  </conditionalFormatting>
  <dataValidations disablePrompts="1" count="12">
    <dataValidation type="whole" operator="greaterThanOrEqual" allowBlank="1" showInputMessage="1" promptTitle="Display Week" prompt="Changing this number will scroll the Gantt Chart view." sqref="P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dataValidation allowBlank="1" showInputMessage="1" showErrorMessage="1" prompt="Phase 3's sample block starts in cell B20." sqref="A16"/>
    <dataValidation allowBlank="1" showInputMessage="1" showErrorMessage="1" prompt="Phase 4's sample block starts in cell B26." sqref="A20"/>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E22"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C7:C24</xm:sqref>
        </x14:conditionalFormatting>
        <x14:conditionalFormatting xmlns:xm="http://schemas.microsoft.com/office/excel/2006/main">
          <x14:cfRule type="dataBar" id="{1C216394-20E1-4C04-9867-D7FED533BE0E}">
            <x14:dataBar minLength="0" maxLength="100" gradient="0">
              <x14:cfvo type="num">
                <xm:f>0</xm:f>
              </x14:cfvo>
              <x14:cfvo type="num">
                <xm:f>1</xm:f>
              </x14:cfvo>
              <x14:negativeFillColor rgb="FFFF0000"/>
              <x14:axisColor rgb="FF000000"/>
            </x14:dataBar>
          </x14:cfRule>
          <xm:sqref>C25:C28</xm:sqref>
        </x14:conditionalFormatting>
        <x14:conditionalFormatting xmlns:xm="http://schemas.microsoft.com/office/excel/2006/main">
          <x14:cfRule type="dataBar" id="{3E8D0838-B5F6-4002-A217-F304415BABC2}">
            <x14:dataBar minLength="0" maxLength="100" gradient="0">
              <x14:cfvo type="num">
                <xm:f>0</xm:f>
              </x14:cfvo>
              <x14:cfvo type="num">
                <xm:f>1</xm:f>
              </x14:cfvo>
              <x14:negativeFillColor rgb="FFFF0000"/>
              <x14:axisColor rgb="FF000000"/>
            </x14:dataBar>
          </x14:cfRule>
          <xm:sqref>C29:C31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zoomScaleNormal="100" workbookViewId="0"/>
  </sheetViews>
  <sheetFormatPr defaultColWidth="9" defaultRowHeight="12.5" x14ac:dyDescent="0.25"/>
  <cols>
    <col min="1" max="1" width="87" style="5" customWidth="1"/>
    <col min="2" max="16384" width="9" style="1"/>
  </cols>
  <sheetData>
    <row r="1" spans="1:2" ht="46.5" customHeight="1" x14ac:dyDescent="0.25"/>
    <row r="2" spans="1:2" s="7" customFormat="1" ht="15.5" x14ac:dyDescent="0.3">
      <c r="A2" s="48" t="s">
        <v>11</v>
      </c>
      <c r="B2" s="6"/>
    </row>
    <row r="3" spans="1:2" s="9" customFormat="1" ht="27" customHeight="1" x14ac:dyDescent="0.3">
      <c r="A3" s="49"/>
      <c r="B3" s="10"/>
    </row>
    <row r="4" spans="1:2" s="8" customFormat="1" ht="30.5" x14ac:dyDescent="0.85">
      <c r="A4" s="50" t="s">
        <v>12</v>
      </c>
    </row>
    <row r="5" spans="1:2" ht="74.25" customHeight="1" x14ac:dyDescent="0.25">
      <c r="A5" s="51" t="s">
        <v>13</v>
      </c>
    </row>
    <row r="6" spans="1:2" ht="26.25" customHeight="1" x14ac:dyDescent="0.25">
      <c r="A6" s="50" t="s">
        <v>14</v>
      </c>
    </row>
    <row r="7" spans="1:2" s="5" customFormat="1" ht="205.25" customHeight="1" x14ac:dyDescent="0.3">
      <c r="A7" s="52" t="s">
        <v>15</v>
      </c>
    </row>
    <row r="8" spans="1:2" s="8" customFormat="1" ht="30.5" x14ac:dyDescent="0.85">
      <c r="A8" s="50" t="s">
        <v>16</v>
      </c>
    </row>
    <row r="9" spans="1:2" ht="42" x14ac:dyDescent="0.25">
      <c r="A9" s="51" t="s">
        <v>17</v>
      </c>
    </row>
    <row r="10" spans="1:2" s="5" customFormat="1" ht="28.25" customHeight="1" x14ac:dyDescent="0.3">
      <c r="A10" s="53" t="s">
        <v>18</v>
      </c>
    </row>
    <row r="11" spans="1:2" s="8" customFormat="1" ht="30.5" x14ac:dyDescent="0.85">
      <c r="A11" s="50" t="s">
        <v>19</v>
      </c>
    </row>
    <row r="12" spans="1:2" ht="28" x14ac:dyDescent="0.25">
      <c r="A12" s="51" t="s">
        <v>20</v>
      </c>
    </row>
    <row r="13" spans="1:2" s="5" customFormat="1" ht="28.25" customHeight="1" x14ac:dyDescent="0.3">
      <c r="A13" s="53" t="s">
        <v>21</v>
      </c>
    </row>
    <row r="14" spans="1:2" s="8" customFormat="1" ht="30.5" x14ac:dyDescent="0.85">
      <c r="A14" s="50" t="s">
        <v>22</v>
      </c>
    </row>
    <row r="15" spans="1:2" ht="75" customHeight="1" x14ac:dyDescent="0.25">
      <c r="A15" s="51" t="s">
        <v>23</v>
      </c>
    </row>
    <row r="16" spans="1:2" ht="70" x14ac:dyDescent="0.25">
      <c r="A16" s="51" t="s">
        <v>24</v>
      </c>
    </row>
    <row r="17" spans="1:1" x14ac:dyDescent="0.25">
      <c r="A17" s="54"/>
    </row>
    <row r="18" spans="1:1" x14ac:dyDescent="0.25">
      <c r="A18" s="54"/>
    </row>
    <row r="19" spans="1:1" x14ac:dyDescent="0.25">
      <c r="A19" s="54"/>
    </row>
    <row r="20" spans="1:1" x14ac:dyDescent="0.25">
      <c r="A20" s="54"/>
    </row>
    <row r="21" spans="1:1" x14ac:dyDescent="0.25">
      <c r="A21" s="54"/>
    </row>
    <row r="22" spans="1:1" x14ac:dyDescent="0.25">
      <c r="A22" s="54"/>
    </row>
    <row r="23" spans="1:1" x14ac:dyDescent="0.25">
      <c r="A23" s="54"/>
    </row>
    <row r="24" spans="1:1" x14ac:dyDescent="0.25">
      <c r="A24" s="54"/>
    </row>
  </sheetData>
  <hyperlinks>
    <hyperlink ref="A13" r:id="rId1"/>
    <hyperlink ref="A10" r:id="rId2"/>
    <hyperlink ref="A2" r:id="rId3"/>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terms/"/>
    <ds:schemaRef ds:uri="http://schemas.microsoft.com/sharepoint/v3"/>
    <ds:schemaRef ds:uri="230e9df3-be65-4c73-a93b-d1236ebd677e"/>
    <ds:schemaRef ds:uri="http://purl.org/dc/dcmitype/"/>
    <ds:schemaRef ds:uri="http://schemas.microsoft.com/office/2006/documentManagement/types"/>
    <ds:schemaRef ds:uri="16c05727-aa75-4e4a-9b5f-8a80a1165891"/>
    <ds:schemaRef ds:uri="http://purl.org/dc/elements/1.1/"/>
    <ds:schemaRef ds:uri="http://schemas.microsoft.com/office/2006/metadata/properties"/>
    <ds:schemaRef ds:uri="71af3243-3dd4-4a8d-8c0d-dd76da1f02a5"/>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Andrei .</cp:lastModifiedBy>
  <cp:revision/>
  <dcterms:created xsi:type="dcterms:W3CDTF">2025-11-20T22:43:23Z</dcterms:created>
  <dcterms:modified xsi:type="dcterms:W3CDTF">2026-03-03T03:55:06Z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