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gf0sg\Desktop\LICENȚĂ\Cleverscope\"/>
    </mc:Choice>
  </mc:AlternateContent>
  <bookViews>
    <workbookView xWindow="0" yWindow="0" windowWidth="19200" windowHeight="8380"/>
  </bookViews>
  <sheets>
    <sheet name="Project schedule" sheetId="11" r:id="rId1"/>
    <sheet name="About" sheetId="12" r:id="rId2"/>
  </sheets>
  <definedNames>
    <definedName name="Display_Week">'Project schedule'!$P$2</definedName>
    <definedName name="_xlnm.Print_Titles" localSheetId="0">'Project schedule'!$4:$6</definedName>
    <definedName name="Project_Start">'Project schedule'!$P$1</definedName>
    <definedName name="task_end" localSheetId="0">'Project schedule'!$E1</definedName>
    <definedName name="task_progress" localSheetId="0">'Project schedule'!$C1</definedName>
    <definedName name="task_start" localSheetId="0">'Project schedule'!$D1</definedName>
    <definedName name="today" localSheetId="0">TODAY()</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11" l="1"/>
  <c r="D16" i="11"/>
  <c r="E16" i="11" s="1"/>
  <c r="E15" i="11"/>
  <c r="D15" i="11"/>
  <c r="E29" i="11"/>
  <c r="E28" i="11"/>
  <c r="D29" i="11" s="1"/>
  <c r="D28" i="11"/>
  <c r="E26" i="11"/>
  <c r="D26" i="11"/>
  <c r="E25" i="11"/>
  <c r="D25" i="11"/>
  <c r="E24" i="11"/>
  <c r="D24" i="11"/>
  <c r="D23" i="11"/>
  <c r="D21" i="11"/>
  <c r="E21" i="11" s="1"/>
  <c r="D19" i="11"/>
  <c r="E12" i="11"/>
  <c r="D12" i="11"/>
  <c r="E11" i="11"/>
  <c r="E10" i="11"/>
  <c r="E14" i="11"/>
  <c r="D14" i="11"/>
  <c r="D11" i="11"/>
  <c r="E9" i="11"/>
  <c r="D10" i="11"/>
  <c r="P1" i="11"/>
  <c r="G21" i="11" l="1"/>
  <c r="G16" i="11"/>
  <c r="E19" i="11"/>
  <c r="D9" i="11"/>
  <c r="G7" i="11" l="1"/>
  <c r="H5" i="11" l="1"/>
  <c r="H4" i="11" s="1"/>
  <c r="G22" i="11"/>
  <c r="G18" i="11"/>
  <c r="G13" i="11"/>
  <c r="G8" i="11"/>
  <c r="D20" i="11" l="1"/>
  <c r="E20" i="11" s="1"/>
  <c r="G9" i="11"/>
  <c r="H6" i="11"/>
  <c r="G20" i="11" l="1"/>
  <c r="G19" i="11"/>
  <c r="G10" i="11"/>
  <c r="E17" i="11"/>
  <c r="G14" i="11"/>
  <c r="I5" i="11"/>
  <c r="J5" i="11" s="1"/>
  <c r="K5" i="11" s="1"/>
  <c r="L5" i="11" s="1"/>
  <c r="M5" i="11" s="1"/>
  <c r="N5" i="11" s="1"/>
  <c r="O5" i="11" s="1"/>
  <c r="G17" i="11" l="1"/>
  <c r="G11" i="11"/>
  <c r="G12" i="11"/>
  <c r="O4" i="11"/>
  <c r="P5" i="11"/>
  <c r="Q5" i="11" s="1"/>
  <c r="R5" i="11" s="1"/>
  <c r="S5" i="11" s="1"/>
  <c r="T5" i="11" s="1"/>
  <c r="U5" i="11" s="1"/>
  <c r="V5" i="11" s="1"/>
  <c r="I6" i="11"/>
  <c r="E23" i="11" l="1"/>
  <c r="V4" i="11"/>
  <c r="W5" i="11"/>
  <c r="X5" i="11" s="1"/>
  <c r="Y5" i="11" s="1"/>
  <c r="Z5" i="11" s="1"/>
  <c r="AA5" i="11" s="1"/>
  <c r="AB5" i="11" s="1"/>
  <c r="AC5" i="11" s="1"/>
  <c r="J6" i="11"/>
  <c r="AD5" i="11" l="1"/>
  <c r="AE5" i="11" s="1"/>
  <c r="AF5" i="11" s="1"/>
  <c r="AG5" i="11" s="1"/>
  <c r="AH5" i="11" s="1"/>
  <c r="AI5" i="11" s="1"/>
  <c r="AC4" i="11"/>
  <c r="K6" i="11"/>
  <c r="AJ5" i="11" l="1"/>
  <c r="AK5" i="11" s="1"/>
  <c r="AL5" i="11" s="1"/>
  <c r="AM5" i="11" s="1"/>
  <c r="AN5" i="11" s="1"/>
  <c r="AO5" i="11" s="1"/>
  <c r="AP5" i="11" s="1"/>
  <c r="L6" i="11"/>
  <c r="AQ5" i="11" l="1"/>
  <c r="AR5" i="11" s="1"/>
  <c r="AJ4" i="11"/>
  <c r="M6" i="11"/>
  <c r="AS5" i="11" l="1"/>
  <c r="AR6" i="11"/>
  <c r="AQ4" i="11"/>
  <c r="N6" i="11"/>
  <c r="AT5" i="11" l="1"/>
  <c r="AS6" i="11"/>
  <c r="AU5" i="11" l="1"/>
  <c r="AT6" i="11"/>
  <c r="O6" i="11"/>
  <c r="P6" i="11"/>
  <c r="AV5" i="11" l="1"/>
  <c r="AU6" i="11"/>
  <c r="Q6" i="11"/>
  <c r="AW5" i="11" l="1"/>
  <c r="AX5" i="11" s="1"/>
  <c r="AV6" i="11"/>
  <c r="R6" i="11"/>
  <c r="AX6" i="11" l="1"/>
  <c r="AY5" i="11"/>
  <c r="AX4" i="11"/>
  <c r="AW6" i="11"/>
  <c r="S6" i="11"/>
  <c r="AZ5" i="11" l="1"/>
  <c r="AY6" i="11"/>
  <c r="T6" i="11"/>
  <c r="AZ6" i="11" l="1"/>
  <c r="BA5" i="11"/>
  <c r="U6" i="11"/>
  <c r="BA6" i="11" l="1"/>
  <c r="BB5" i="11"/>
  <c r="V6" i="11"/>
  <c r="BB6" i="11" l="1"/>
  <c r="BC5" i="11"/>
  <c r="W6" i="11"/>
  <c r="BD5" i="11" l="1"/>
  <c r="BC6" i="11"/>
  <c r="X6" i="11"/>
  <c r="BD6" i="11" l="1"/>
  <c r="BE5" i="11"/>
  <c r="Y6" i="11"/>
  <c r="BE6" i="11" l="1"/>
  <c r="BF5" i="11"/>
  <c r="BE4" i="11"/>
  <c r="Z6" i="11"/>
  <c r="BF6" i="11" l="1"/>
  <c r="BG5" i="11"/>
  <c r="AA6" i="11"/>
  <c r="BH5" i="11" l="1"/>
  <c r="BG6" i="11"/>
  <c r="AB6" i="11"/>
  <c r="BI5" i="11" l="1"/>
  <c r="BH6" i="11"/>
  <c r="AC6" i="11"/>
  <c r="BJ5" i="11" l="1"/>
  <c r="BI6" i="11"/>
  <c r="AD6" i="11"/>
  <c r="BK5" i="11" l="1"/>
  <c r="BL5" i="11" s="1"/>
  <c r="BJ6" i="11"/>
  <c r="AE6" i="11"/>
  <c r="BM5" i="11" l="1"/>
  <c r="BL6" i="11"/>
  <c r="BL4" i="11"/>
  <c r="BK6" i="11"/>
  <c r="AF6" i="11"/>
  <c r="BN5" i="11" l="1"/>
  <c r="BM6" i="11"/>
  <c r="AG6" i="11"/>
  <c r="BO5" i="11" l="1"/>
  <c r="BN6" i="11"/>
  <c r="AH6" i="11"/>
  <c r="BP5" i="11" l="1"/>
  <c r="BO6" i="11"/>
  <c r="AI6" i="11"/>
  <c r="BQ5" i="11" l="1"/>
  <c r="BP6" i="11"/>
  <c r="AJ6" i="11"/>
  <c r="BR5" i="11" l="1"/>
  <c r="BQ6" i="11"/>
  <c r="AK6" i="11"/>
  <c r="BS5" i="11" l="1"/>
  <c r="BR6" i="11"/>
  <c r="AL6" i="11"/>
  <c r="BS4" i="11" l="1"/>
  <c r="BS6" i="11"/>
  <c r="BT5" i="11"/>
  <c r="AM6" i="11"/>
  <c r="BT6" i="11" l="1"/>
  <c r="BU5" i="11"/>
  <c r="AN6" i="11"/>
  <c r="BU6" i="11" l="1"/>
  <c r="BV5" i="11"/>
  <c r="AO6" i="11"/>
  <c r="BW5" i="11" l="1"/>
  <c r="BV6" i="11"/>
  <c r="AP6" i="11"/>
  <c r="BW6" i="11" l="1"/>
  <c r="BX5" i="11"/>
  <c r="AQ6" i="11"/>
  <c r="BX6" i="11" l="1"/>
  <c r="BY5" i="11"/>
  <c r="BZ5" i="11" l="1"/>
  <c r="BY6" i="11"/>
  <c r="CA5" i="11" l="1"/>
  <c r="BZ4" i="11"/>
  <c r="BZ6" i="11"/>
  <c r="CA6" i="11" l="1"/>
  <c r="CB5" i="11"/>
  <c r="CB6" i="11" l="1"/>
  <c r="CC5" i="11"/>
  <c r="CC6" i="11" l="1"/>
  <c r="CD5" i="11"/>
  <c r="CD6" i="11" l="1"/>
  <c r="CE5" i="11"/>
  <c r="CE6" i="11" l="1"/>
  <c r="CF5" i="11"/>
  <c r="CG5" i="11" l="1"/>
  <c r="CF6" i="11"/>
  <c r="CH5" i="11" l="1"/>
  <c r="CG6" i="11"/>
  <c r="CG4" i="11"/>
  <c r="CH6" i="11" l="1"/>
  <c r="CI5" i="11"/>
  <c r="CJ5" i="11" l="1"/>
  <c r="CI6" i="11"/>
  <c r="CK5" i="11" l="1"/>
  <c r="CJ6" i="11"/>
  <c r="CL5" i="11" l="1"/>
  <c r="CK6" i="11"/>
  <c r="CL6" i="11" l="1"/>
  <c r="CM5" i="11"/>
  <c r="CM6" i="11" l="1"/>
  <c r="CN5" i="11"/>
  <c r="CN4" i="11" l="1"/>
  <c r="CO5" i="11"/>
  <c r="CN6" i="11"/>
  <c r="CP5" i="11" l="1"/>
  <c r="CO6" i="11"/>
  <c r="CP6" i="11" l="1"/>
  <c r="CQ5" i="11"/>
  <c r="CQ6" i="11" l="1"/>
  <c r="CR5" i="11"/>
  <c r="CR6" i="11" l="1"/>
  <c r="CS5" i="11"/>
  <c r="CS6" i="11" l="1"/>
  <c r="CT5" i="11"/>
  <c r="CT6" i="11" l="1"/>
  <c r="CU5" i="11"/>
  <c r="CU6" i="11" l="1"/>
  <c r="CU4" i="11"/>
  <c r="CV5" i="11"/>
  <c r="CV6" i="11" l="1"/>
  <c r="CW5" i="11"/>
  <c r="CW6" i="11" l="1"/>
  <c r="CX5" i="11"/>
  <c r="CX6" i="11" l="1"/>
  <c r="CY5" i="11"/>
  <c r="CY6" i="11" l="1"/>
  <c r="CZ5" i="11"/>
  <c r="CZ6" i="11" l="1"/>
  <c r="DA5" i="11"/>
  <c r="DA6" i="11" s="1"/>
  <c r="G15" i="11"/>
</calcChain>
</file>

<file path=xl/sharedStrings.xml><?xml version="1.0" encoding="utf-8"?>
<sst xmlns="http://schemas.openxmlformats.org/spreadsheetml/2006/main" count="45" uniqueCount="45">
  <si>
    <t>Project start:</t>
  </si>
  <si>
    <t>Display week:</t>
  </si>
  <si>
    <t>TASK</t>
  </si>
  <si>
    <t>PROGRESS</t>
  </si>
  <si>
    <t>START</t>
  </si>
  <si>
    <t>END</t>
  </si>
  <si>
    <t xml:space="preserve">Do not delete this row. This row is hidden to preserve a formula that is used to highlight the current day within the project schedule. </t>
  </si>
  <si>
    <t>Identificarea sarcinilor</t>
  </si>
  <si>
    <t>Estimarea timpului</t>
  </si>
  <si>
    <t>Planificarea sarcinilor</t>
  </si>
  <si>
    <t>Managementul timpului</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</si>
  <si>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</si>
  <si>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</si>
  <si>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</si>
  <si>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</si>
  <si>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</si>
  <si>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</si>
  <si>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</si>
  <si>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</si>
  <si>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</si>
  <si>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</si>
  <si>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</si>
  <si>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</si>
  <si>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</si>
  <si>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</si>
  <si>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Student: Deaconu Andrei</t>
  </si>
  <si>
    <t>Management</t>
  </si>
  <si>
    <t>Dezvoltare software</t>
  </si>
  <si>
    <t>Testare</t>
  </si>
  <si>
    <t>Remote control Cleverscope</t>
  </si>
  <si>
    <t>Training și Învățare</t>
  </si>
  <si>
    <t>Aprofundare C# și concepte de programare orientată pe obiecte (OOP)</t>
  </si>
  <si>
    <t>Studiu arhitectură MVVM</t>
  </si>
  <si>
    <t>Învățare layout-uri WPF și design UI / UX</t>
  </si>
  <si>
    <t>Studiul protocolului Serial USB</t>
  </si>
  <si>
    <t>Comunicare cu hardware-ul</t>
  </si>
  <si>
    <t>Studiu programare asincrona</t>
  </si>
  <si>
    <t>Implementare SerialService</t>
  </si>
  <si>
    <t>Teste comunicare</t>
  </si>
  <si>
    <t xml:space="preserve">Testare integrare </t>
  </si>
  <si>
    <t xml:space="preserve">Dezvoltare Core (Model) : </t>
  </si>
  <si>
    <t>Achiziție de date</t>
  </si>
  <si>
    <t>Integrare threading : Gestionarea sincronizarii firelor de background cu interfața</t>
  </si>
  <si>
    <t>Integrare (ViewModel): Binding de date și comenzi pentru control</t>
  </si>
  <si>
    <t>Dezvoltare UI/UX (View): Construirea interfeței grafice conform principiilor de UX</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</si>
</sst>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m/d/yy;@"/>
    <numFmt numFmtId="165" formatCode="ddd\,\ m/d/yyyy"/>
    <numFmt numFmtId="166" formatCode="mmm\ d\,\ yyyy"/>
    <numFmt numFmtId="167" formatCode="d"/>
  </numFmts>
  <fonts count="28"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sz val="11"/>
      <color rgb="FF1D2129"/>
      <name val="Arial"/>
      <family val="2"/>
      <scheme val="minor"/>
    </font>
    <font>
      <u/>
      <sz val="11"/>
      <color indexed="12"/>
      <name val="Arial"/>
      <family val="2"/>
      <scheme val="minor"/>
    </font>
    <font>
      <b/>
      <sz val="36"/>
      <color theme="9"/>
      <name val="Arial Black"/>
      <family val="2"/>
      <scheme val="major"/>
    </font>
    <font>
      <b/>
      <sz val="14"/>
      <color theme="9"/>
      <name val="Arial"/>
      <family val="2"/>
      <scheme val="minor"/>
    </font>
    <font>
      <b/>
      <sz val="14"/>
      <color theme="9"/>
      <name val="Arial Black"/>
      <family val="2"/>
      <scheme val="major"/>
    </font>
    <font>
      <sz val="14"/>
      <color theme="1"/>
      <name val="Arial Black"/>
      <family val="2"/>
      <scheme val="major"/>
    </font>
  </fonts>
  <fills count="15">
    <fill>
      <patternFill patternType="none"/>
    </fill>
    <fill>
      <patternFill patternType="gray125"/>
    </fill>
    <fill>
      <patternFill patternType="solid">
        <fgColor theme="0" tint="-4.9989318521683403E-2"/>
        <bgColor indexed="64"/>
      </patternFill>
    </fill>
    <fill>
      <patternFill patternType="solid">
        <fgColor theme="6" tint="0.79998168889431442"/>
        <bgColor indexed="64"/>
      </patternFill>
    </fill>
    <fill>
      <patternFill patternType="solid">
        <fgColor theme="6" tint="0.59996337778862885"/>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7" tint="-0.249977111117893"/>
        <bgColor indexed="64"/>
      </patternFill>
    </fill>
    <fill>
      <patternFill patternType="solid">
        <fgColor theme="5" tint="-0.249977111117893"/>
        <bgColor indexed="64"/>
      </patternFill>
    </fill>
  </fills>
  <borders count="2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6">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3" fillId="0" borderId="1" xfId="0" applyFont="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3" fillId="0" borderId="0" xfId="0" applyFont="1" applyAlignment="1">
      <alignment horizontal="center" vertical="center"/>
    </xf>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3" fillId="0" borderId="0" xfId="0" applyFont="1"/>
    <xf numFmtId="0" fontId="13" fillId="0" borderId="0" xfId="0" applyFont="1" applyAlignment="1">
      <alignment horizontal="center"/>
    </xf>
    <xf numFmtId="0" fontId="14" fillId="0" borderId="0" xfId="0" applyFont="1"/>
    <xf numFmtId="0" fontId="15"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8" fillId="6" borderId="19" xfId="0" applyNumberFormat="1" applyFont="1" applyFill="1" applyBorder="1" applyAlignment="1">
      <alignment horizontal="center" vertical="center"/>
    </xf>
    <xf numFmtId="167" fontId="18" fillId="6" borderId="17" xfId="0" applyNumberFormat="1" applyFont="1" applyFill="1" applyBorder="1" applyAlignment="1">
      <alignment horizontal="center" vertical="center"/>
    </xf>
    <xf numFmtId="167" fontId="18" fillId="6" borderId="18" xfId="0" applyNumberFormat="1" applyFont="1" applyFill="1" applyBorder="1" applyAlignment="1">
      <alignment horizontal="center" vertical="center"/>
    </xf>
    <xf numFmtId="0" fontId="19" fillId="2" borderId="16" xfId="0" applyFont="1" applyFill="1" applyBorder="1" applyAlignment="1">
      <alignment horizontal="center" vertical="center" shrinkToFit="1"/>
    </xf>
    <xf numFmtId="0" fontId="19" fillId="2" borderId="13" xfId="0" applyFont="1" applyFill="1" applyBorder="1" applyAlignment="1">
      <alignment horizontal="center" vertical="center" shrinkToFit="1"/>
    </xf>
    <xf numFmtId="0" fontId="19" fillId="2" borderId="14" xfId="0" applyFont="1" applyFill="1" applyBorder="1" applyAlignment="1">
      <alignment horizontal="center" vertical="center" shrinkToFit="1"/>
    </xf>
    <xf numFmtId="0" fontId="16" fillId="0" borderId="0" xfId="0" applyFont="1"/>
    <xf numFmtId="0" fontId="4" fillId="0" borderId="3" xfId="0" applyFont="1" applyBorder="1" applyAlignment="1">
      <alignment vertical="center"/>
    </xf>
    <xf numFmtId="0" fontId="4" fillId="0" borderId="11" xfId="0" applyFont="1" applyBorder="1" applyAlignment="1">
      <alignment vertical="center"/>
    </xf>
    <xf numFmtId="0" fontId="4" fillId="0" borderId="0" xfId="0" applyFont="1" applyAlignment="1">
      <alignment vertical="center"/>
    </xf>
    <xf numFmtId="0" fontId="4" fillId="0" borderId="4" xfId="0" applyFont="1" applyBorder="1" applyAlignment="1">
      <alignment vertical="center"/>
    </xf>
    <xf numFmtId="0" fontId="4" fillId="0" borderId="4" xfId="0" applyFont="1" applyBorder="1" applyAlignment="1">
      <alignment horizontal="right" vertical="center"/>
    </xf>
    <xf numFmtId="0" fontId="20" fillId="4" borderId="0" xfId="0" applyFont="1" applyFill="1" applyAlignment="1">
      <alignment horizontal="left" vertical="center" indent="1"/>
    </xf>
    <xf numFmtId="9" fontId="1" fillId="4" borderId="0" xfId="2" applyFont="1" applyFill="1" applyBorder="1" applyAlignment="1">
      <alignment horizontal="center" vertical="center"/>
    </xf>
    <xf numFmtId="164" fontId="16" fillId="4" borderId="0" xfId="0" applyNumberFormat="1" applyFont="1" applyFill="1" applyAlignment="1">
      <alignment horizontal="center" vertical="center"/>
    </xf>
    <xf numFmtId="164" fontId="1" fillId="4" borderId="0" xfId="0" applyNumberFormat="1" applyFont="1" applyFill="1" applyAlignment="1">
      <alignment horizontal="center" vertical="center"/>
    </xf>
    <xf numFmtId="0" fontId="4" fillId="0" borderId="10" xfId="0" applyFont="1" applyBorder="1" applyAlignment="1">
      <alignment vertical="center"/>
    </xf>
    <xf numFmtId="0" fontId="16" fillId="3" borderId="8" xfId="12" applyFont="1" applyFill="1" applyBorder="1">
      <alignment horizontal="left" vertical="center" indent="2"/>
    </xf>
    <xf numFmtId="9" fontId="1" fillId="3" borderId="8" xfId="2" applyFont="1" applyFill="1" applyBorder="1" applyAlignment="1">
      <alignment horizontal="center" vertical="center"/>
    </xf>
    <xf numFmtId="164" fontId="16" fillId="3" borderId="8" xfId="10" applyFont="1" applyFill="1" applyBorder="1">
      <alignment horizontal="center" vertical="center"/>
    </xf>
    <xf numFmtId="0" fontId="21" fillId="0" borderId="0" xfId="6" applyFont="1" applyAlignment="1">
      <alignment horizontal="left" vertical="center" indent="1"/>
    </xf>
    <xf numFmtId="0" fontId="7" fillId="0" borderId="0" xfId="0" applyFont="1" applyAlignment="1">
      <alignment horizontal="left" vertical="center" indent="1"/>
    </xf>
    <xf numFmtId="0" fontId="3" fillId="0" borderId="0" xfId="0" applyFont="1" applyAlignment="1">
      <alignment horizontal="left" vertical="top" indent="1"/>
    </xf>
    <xf numFmtId="0" fontId="21" fillId="0" borderId="0" xfId="0" applyFont="1" applyAlignment="1">
      <alignment horizontal="left" vertical="center" indent="1"/>
    </xf>
    <xf numFmtId="0" fontId="22" fillId="0" borderId="0" xfId="0" applyFont="1" applyAlignment="1">
      <alignment horizontal="left" vertical="top" wrapText="1" indent="1"/>
    </xf>
    <xf numFmtId="0" fontId="0" fillId="0" borderId="0" xfId="0" applyAlignment="1">
      <alignment horizontal="left" vertical="top" wrapText="1" indent="1"/>
    </xf>
    <xf numFmtId="0" fontId="23" fillId="0" borderId="0" xfId="1" applyFont="1" applyAlignment="1" applyProtection="1">
      <alignment horizontal="left" vertical="top" indent="1"/>
    </xf>
    <xf numFmtId="0" fontId="1" fillId="0" borderId="0" xfId="0" applyFont="1" applyAlignment="1">
      <alignment horizontal="left" vertical="top" indent="1"/>
    </xf>
    <xf numFmtId="0" fontId="24" fillId="0" borderId="0" xfId="5" applyFont="1" applyAlignment="1">
      <alignment horizontal="left"/>
    </xf>
    <xf numFmtId="0" fontId="4" fillId="0" borderId="4" xfId="0" applyFont="1" applyFill="1" applyBorder="1" applyAlignment="1">
      <alignment vertical="center"/>
    </xf>
    <xf numFmtId="0" fontId="11" fillId="0" borderId="0" xfId="3" applyAlignment="1">
      <alignment wrapText="1"/>
    </xf>
    <xf numFmtId="0" fontId="20" fillId="7" borderId="0" xfId="0" applyFont="1" applyFill="1" applyAlignment="1">
      <alignment horizontal="left" vertical="center" indent="1"/>
    </xf>
    <xf numFmtId="9" fontId="1" fillId="7" borderId="0" xfId="2" applyFont="1" applyFill="1" applyBorder="1" applyAlignment="1">
      <alignment horizontal="center" vertical="center"/>
    </xf>
    <xf numFmtId="164" fontId="16"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20" fillId="8" borderId="0" xfId="0" applyFont="1" applyFill="1" applyAlignment="1">
      <alignment horizontal="left" vertical="center" indent="1"/>
    </xf>
    <xf numFmtId="9" fontId="1" fillId="8" borderId="0" xfId="2" applyFont="1" applyFill="1" applyBorder="1" applyAlignment="1">
      <alignment horizontal="center" vertical="center"/>
    </xf>
    <xf numFmtId="164" fontId="16"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16" fillId="9" borderId="6" xfId="12" applyFont="1" applyFill="1" applyBorder="1">
      <alignment horizontal="left" vertical="center" indent="2"/>
    </xf>
    <xf numFmtId="9" fontId="1" fillId="9" borderId="6" xfId="2" applyFont="1" applyFill="1" applyBorder="1" applyAlignment="1">
      <alignment horizontal="center" vertical="center"/>
    </xf>
    <xf numFmtId="164" fontId="16" fillId="9" borderId="6" xfId="10" applyFont="1" applyFill="1" applyBorder="1">
      <alignment horizontal="center" vertical="center"/>
    </xf>
    <xf numFmtId="0" fontId="16" fillId="9" borderId="7" xfId="12" applyFont="1" applyFill="1" applyBorder="1">
      <alignment horizontal="left" vertical="center" indent="2"/>
    </xf>
    <xf numFmtId="9" fontId="1" fillId="9" borderId="7" xfId="2" applyFont="1" applyFill="1" applyBorder="1" applyAlignment="1">
      <alignment horizontal="center" vertical="center"/>
    </xf>
    <xf numFmtId="164" fontId="16" fillId="9" borderId="7" xfId="10" applyFont="1" applyFill="1" applyBorder="1">
      <alignment horizontal="center" vertical="center"/>
    </xf>
    <xf numFmtId="0" fontId="16" fillId="12" borderId="5" xfId="12" applyFont="1" applyFill="1" applyBorder="1">
      <alignment horizontal="left" vertical="center" indent="2"/>
    </xf>
    <xf numFmtId="9" fontId="1" fillId="12" borderId="5" xfId="2" applyFont="1" applyFill="1" applyBorder="1" applyAlignment="1">
      <alignment horizontal="center" vertical="center"/>
    </xf>
    <xf numFmtId="164" fontId="16" fillId="12" borderId="5" xfId="10" applyFont="1" applyFill="1" applyBorder="1">
      <alignment horizontal="center" vertical="center"/>
    </xf>
    <xf numFmtId="0" fontId="20" fillId="13" borderId="0" xfId="0" applyFont="1" applyFill="1" applyAlignment="1">
      <alignment horizontal="left" vertical="center" indent="1"/>
    </xf>
    <xf numFmtId="9" fontId="1" fillId="13" borderId="0" xfId="2" applyFont="1" applyFill="1" applyBorder="1" applyAlignment="1">
      <alignment horizontal="center" vertical="center"/>
    </xf>
    <xf numFmtId="164" fontId="16" fillId="13" borderId="0" xfId="0" applyNumberFormat="1" applyFont="1" applyFill="1" applyAlignment="1">
      <alignment horizontal="center" vertical="center"/>
    </xf>
    <xf numFmtId="164" fontId="1" fillId="13" borderId="0" xfId="0" applyNumberFormat="1" applyFont="1" applyFill="1" applyAlignment="1">
      <alignment horizontal="center" vertical="center"/>
    </xf>
    <xf numFmtId="0" fontId="16" fillId="11" borderId="9" xfId="12" applyFont="1" applyFill="1" applyBorder="1">
      <alignment horizontal="left" vertical="center" indent="2"/>
    </xf>
    <xf numFmtId="9" fontId="1" fillId="11" borderId="9" xfId="2" applyFont="1" applyFill="1" applyBorder="1" applyAlignment="1">
      <alignment horizontal="center" vertical="center"/>
    </xf>
    <xf numFmtId="164" fontId="16" fillId="11" borderId="9" xfId="10" applyFont="1" applyFill="1" applyBorder="1">
      <alignment horizontal="center" vertical="center"/>
    </xf>
    <xf numFmtId="0" fontId="20" fillId="14" borderId="0" xfId="0" applyFont="1" applyFill="1" applyAlignment="1">
      <alignment horizontal="left" vertical="center" indent="1"/>
    </xf>
    <xf numFmtId="9" fontId="1" fillId="14" borderId="0" xfId="2" applyFont="1" applyFill="1" applyBorder="1" applyAlignment="1">
      <alignment horizontal="center" vertical="center"/>
    </xf>
    <xf numFmtId="164" fontId="16" fillId="14" borderId="0" xfId="0" applyNumberFormat="1" applyFont="1" applyFill="1" applyAlignment="1">
      <alignment horizontal="center" vertical="center"/>
    </xf>
    <xf numFmtId="164" fontId="1" fillId="14" borderId="0" xfId="0" applyNumberFormat="1" applyFont="1" applyFill="1" applyAlignment="1">
      <alignment horizontal="center" vertical="center"/>
    </xf>
    <xf numFmtId="0" fontId="16" fillId="10" borderId="6" xfId="12" applyFont="1" applyFill="1" applyBorder="1">
      <alignment horizontal="left" vertical="center" indent="2"/>
    </xf>
    <xf numFmtId="9" fontId="1" fillId="10" borderId="6" xfId="2" applyFont="1" applyFill="1" applyBorder="1" applyAlignment="1">
      <alignment horizontal="center" vertical="center"/>
    </xf>
    <xf numFmtId="164" fontId="16" fillId="10" borderId="6" xfId="10" applyFont="1" applyFill="1" applyBorder="1">
      <alignment horizontal="center" vertical="center"/>
    </xf>
    <xf numFmtId="0" fontId="16" fillId="10" borderId="7" xfId="12" applyFont="1" applyFill="1" applyBorder="1">
      <alignment horizontal="left" vertical="center" indent="2"/>
    </xf>
    <xf numFmtId="9" fontId="1" fillId="10" borderId="7" xfId="2" applyFont="1" applyFill="1" applyBorder="1" applyAlignment="1">
      <alignment horizontal="center" vertical="center"/>
    </xf>
    <xf numFmtId="164" fontId="16" fillId="10" borderId="7" xfId="10" applyFont="1" applyFill="1" applyBorder="1">
      <alignment horizontal="center" vertical="center"/>
    </xf>
    <xf numFmtId="0" fontId="11" fillId="0" borderId="0" xfId="3" applyAlignment="1">
      <alignment wrapText="1"/>
    </xf>
    <xf numFmtId="0" fontId="17" fillId="5" borderId="15" xfId="0" applyFont="1" applyFill="1" applyBorder="1" applyAlignment="1">
      <alignment horizontal="left" vertical="center" indent="1"/>
    </xf>
    <xf numFmtId="0" fontId="4" fillId="2" borderId="20" xfId="0" applyFont="1" applyFill="1" applyBorder="1" applyAlignment="1">
      <alignment horizontal="left" indent="1"/>
    </xf>
    <xf numFmtId="0" fontId="17" fillId="5" borderId="15" xfId="0" applyFont="1" applyFill="1" applyBorder="1" applyAlignment="1">
      <alignment horizontal="center" vertical="center"/>
    </xf>
    <xf numFmtId="0" fontId="4" fillId="2" borderId="20" xfId="0" applyFont="1" applyFill="1" applyBorder="1"/>
    <xf numFmtId="0" fontId="26" fillId="0" borderId="0" xfId="0" applyFont="1" applyAlignment="1">
      <alignment horizontal="left"/>
    </xf>
    <xf numFmtId="0" fontId="27" fillId="0" borderId="0" xfId="0" applyFont="1"/>
    <xf numFmtId="165" fontId="26" fillId="0" borderId="0" xfId="9" applyFont="1" applyBorder="1" applyAlignment="1">
      <alignment horizontal="left"/>
    </xf>
    <xf numFmtId="0" fontId="21" fillId="0" borderId="0" xfId="8" applyFont="1" applyAlignment="1">
      <alignment horizontal="left"/>
    </xf>
    <xf numFmtId="0" fontId="4" fillId="0" borderId="0" xfId="0" applyFont="1"/>
    <xf numFmtId="0" fontId="25" fillId="0" borderId="0" xfId="8" applyFont="1" applyAlignment="1">
      <alignment horizontal="left"/>
    </xf>
    <xf numFmtId="0" fontId="5" fillId="0" borderId="0" xfId="0" applyFont="1"/>
    <xf numFmtId="166" fontId="16" fillId="2" borderId="12" xfId="0" applyNumberFormat="1" applyFont="1" applyFill="1" applyBorder="1" applyAlignment="1">
      <alignment horizontal="center" vertical="center" wrapText="1"/>
    </xf>
    <xf numFmtId="166" fontId="16" fillId="2" borderId="18" xfId="0" applyNumberFormat="1" applyFont="1" applyFill="1" applyBorder="1" applyAlignment="1">
      <alignment horizontal="center" vertical="center" wrapText="1"/>
    </xf>
    <xf numFmtId="166" fontId="16" fillId="2" borderId="17" xfId="0" applyNumberFormat="1" applyFont="1" applyFill="1" applyBorder="1" applyAlignment="1">
      <alignment horizontal="center" vertical="center" wrapText="1"/>
    </xf>
  </cellXfs>
  <cellStyles count="13">
    <cellStyle name="Comma" xfId="4" builtinId="3" customBuiltin="1"/>
    <cellStyle name="Date" xfId="10"/>
    <cellStyle name="Heading 1" xfId="6" builtinId="16" customBuiltin="1"/>
    <cellStyle name="Heading 2" xfId="7" builtinId="17" customBuiltin="1"/>
    <cellStyle name="Heading 3" xfId="8" builtinId="18" customBuiltin="1"/>
    <cellStyle name="Hyperlink" xfId="1" builtinId="8" customBuiltin="1"/>
    <cellStyle name="Name" xfId="11"/>
    <cellStyle name="Normal" xfId="0" builtinId="0"/>
    <cellStyle name="Percent" xfId="2" builtinId="5"/>
    <cellStyle name="Project Start" xfId="9"/>
    <cellStyle name="Task" xfId="12"/>
    <cellStyle name="Title" xfId="5" builtinId="15" customBuiltin="1"/>
    <cellStyle name="zHiddenText" xfId="3"/>
  </cellStyles>
  <dxfs count="30">
    <dxf>
      <fill>
        <patternFill>
          <bgColor theme="7" tint="-0.24994659260841701"/>
        </patternFill>
      </fill>
      <border>
        <left/>
        <right/>
      </border>
    </dxf>
    <dxf>
      <fill>
        <patternFill>
          <bgColor theme="7" tint="0.59996337778862885"/>
        </patternFill>
      </fill>
      <border>
        <left/>
        <right/>
      </border>
    </dxf>
    <dxf>
      <border>
        <left style="thin">
          <color theme="5"/>
        </left>
        <right style="thin">
          <color theme="5"/>
        </right>
        <vertical/>
        <horizontal/>
      </border>
    </dxf>
    <dxf>
      <fill>
        <patternFill>
          <bgColor theme="8" tint="-0.24994659260841701"/>
        </patternFill>
      </fill>
      <border>
        <left/>
        <right/>
        <top style="thin">
          <color theme="0" tint="-4.9989318521683403E-2"/>
        </top>
        <bottom style="thin">
          <color theme="0" tint="-4.9989318521683403E-2"/>
        </bottom>
      </border>
    </dxf>
    <dxf>
      <fill>
        <patternFill>
          <bgColor theme="8" tint="0.59996337778862885"/>
        </patternFill>
      </fill>
    </dxf>
    <dxf>
      <border>
        <left style="thin">
          <color theme="5"/>
        </left>
        <right style="thin">
          <color theme="5"/>
        </right>
        <vertical/>
        <horizontal/>
      </border>
    </dxf>
    <dxf>
      <fill>
        <patternFill>
          <bgColor theme="8" tint="-0.24994659260841701"/>
        </patternFill>
      </fill>
      <border>
        <left/>
        <right/>
        <top style="thin">
          <color theme="0" tint="-4.9989318521683403E-2"/>
        </top>
        <bottom style="thin">
          <color theme="0" tint="-4.9989318521683403E-2"/>
        </bottom>
      </border>
    </dxf>
    <dxf>
      <fill>
        <patternFill>
          <bgColor theme="8" tint="0.59996337778862885"/>
        </patternFill>
      </fill>
    </dxf>
    <dxf>
      <border>
        <left style="thin">
          <color theme="5"/>
        </left>
        <right style="thin">
          <color theme="5"/>
        </right>
        <vertical/>
        <horizontal/>
      </border>
    </dxf>
    <dxf>
      <fill>
        <patternFill>
          <bgColor theme="5" tint="-0.24994659260841701"/>
        </patternFill>
      </fill>
      <border>
        <left/>
        <right/>
      </border>
    </dxf>
    <dxf>
      <fill>
        <patternFill>
          <bgColor theme="5" tint="0.59996337778862885"/>
        </patternFill>
      </fill>
      <border>
        <left/>
        <right/>
      </border>
    </dxf>
    <dxf>
      <fill>
        <patternFill>
          <bgColor theme="7" tint="-0.24994659260841701"/>
        </patternFill>
      </fill>
      <border>
        <left/>
        <right/>
      </border>
    </dxf>
    <dxf>
      <fill>
        <patternFill>
          <bgColor theme="7" tint="0.59996337778862885"/>
        </patternFill>
      </fill>
      <border>
        <left/>
        <right/>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8" tint="-0.24994659260841701"/>
        </patternFill>
      </fill>
      <border>
        <left/>
        <right/>
        <top style="thin">
          <color theme="0" tint="-4.9989318521683403E-2"/>
        </top>
        <bottom style="thin">
          <color theme="0" tint="-4.9989318521683403E-2"/>
        </bottom>
      </border>
    </dxf>
    <dxf>
      <fill>
        <patternFill>
          <bgColor theme="8" tint="0.59996337778862885"/>
        </patternFill>
      </fill>
    </dxf>
    <dxf>
      <fill>
        <patternFill>
          <bgColor theme="9" tint="-0.24994659260841701"/>
        </patternFill>
      </fill>
      <border>
        <left/>
        <right/>
        <top style="thin">
          <color theme="0" tint="-4.9989318521683403E-2"/>
        </top>
        <bottom style="thin">
          <color theme="0" tint="-4.9989318521683403E-2"/>
        </bottom>
      </border>
    </dxf>
    <dxf>
      <fill>
        <patternFill>
          <bgColor theme="9" tint="0.3999450666829432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tableStyleElement type="wholeTable" dxfId="29"/>
      <tableStyleElement type="headerRow" dxfId="28"/>
      <tableStyleElement type="totalRow" dxfId="27"/>
      <tableStyleElement type="firstColumn" dxfId="26"/>
      <tableStyleElement type="lastColumn" dxfId="25"/>
      <tableStyleElement type="firstRowStripe" dxfId="24"/>
      <tableStyleElement type="secondRowStripe" dxfId="23"/>
      <tableStyleElement type="firstColumnStripe" dxfId="22"/>
      <tableStyleElement type="secondColumnStripe" dxfId="2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DB29"/>
  <sheetViews>
    <sheetView showGridLines="0" tabSelected="1" showRuler="0" zoomScale="40" zoomScaleNormal="40" zoomScalePageLayoutView="70" workbookViewId="0">
      <selection activeCell="BC9" sqref="BC9:BC17"/>
    </sheetView>
  </sheetViews>
  <sheetFormatPr defaultColWidth="8.6640625" defaultRowHeight="30" customHeight="1" x14ac:dyDescent="0.3"/>
  <cols>
    <col min="1" max="1" width="2.6640625" style="11" customWidth="1"/>
    <col min="2" max="2" width="73.58203125" customWidth="1"/>
    <col min="3" max="3" width="13.6640625" customWidth="1"/>
    <col min="4" max="4" width="10.6640625" style="2" customWidth="1"/>
    <col min="5" max="5" width="10.6640625" customWidth="1"/>
    <col min="6" max="6" width="2.6640625" customWidth="1"/>
    <col min="7" max="7" width="6" hidden="1" customWidth="1"/>
    <col min="8" max="15" width="2.6640625" customWidth="1"/>
    <col min="16" max="16" width="2.33203125" bestFit="1" customWidth="1"/>
    <col min="17" max="24" width="2.6640625" customWidth="1"/>
    <col min="25" max="25" width="2.5" customWidth="1"/>
    <col min="26" max="64" width="2.6640625" customWidth="1"/>
    <col min="65" max="69" width="2.1640625" bestFit="1" customWidth="1"/>
    <col min="70" max="70" width="2.1640625" customWidth="1"/>
    <col min="71" max="71" width="2.1640625" bestFit="1" customWidth="1"/>
    <col min="72" max="72" width="2.83203125" bestFit="1" customWidth="1"/>
    <col min="73" max="73" width="2.5" bestFit="1" customWidth="1"/>
    <col min="74" max="81" width="2.83203125" bestFit="1" customWidth="1"/>
    <col min="82" max="82" width="3.08203125" bestFit="1" customWidth="1"/>
    <col min="83" max="83" width="2.83203125" bestFit="1" customWidth="1"/>
    <col min="84" max="90" width="3.08203125" bestFit="1" customWidth="1"/>
    <col min="91" max="91" width="2.33203125" bestFit="1" customWidth="1"/>
    <col min="92" max="92" width="2.83203125" bestFit="1" customWidth="1"/>
    <col min="93" max="93" width="2.33203125" bestFit="1" customWidth="1"/>
    <col min="94" max="94" width="2.6640625" bestFit="1" customWidth="1"/>
    <col min="95" max="98" width="2.33203125" bestFit="1" customWidth="1"/>
    <col min="99" max="100" width="2.83203125" bestFit="1" customWidth="1"/>
    <col min="101" max="101" width="2.6640625" bestFit="1" customWidth="1"/>
    <col min="102" max="105" width="2.83203125" bestFit="1" customWidth="1"/>
  </cols>
  <sheetData>
    <row r="1" spans="1:105" ht="90" customHeight="1" x14ac:dyDescent="1.5">
      <c r="A1" s="12"/>
      <c r="B1" s="54" t="s">
        <v>29</v>
      </c>
      <c r="C1" s="14"/>
      <c r="D1" s="15"/>
      <c r="E1" s="16"/>
      <c r="G1" s="1"/>
      <c r="H1" s="99" t="s">
        <v>0</v>
      </c>
      <c r="I1" s="100"/>
      <c r="J1" s="100"/>
      <c r="K1" s="100"/>
      <c r="L1" s="100"/>
      <c r="M1" s="100"/>
      <c r="N1" s="100"/>
      <c r="O1" s="19"/>
      <c r="P1" s="98">
        <f>DATE(2026,2,23)</f>
        <v>46076</v>
      </c>
      <c r="Q1" s="97"/>
      <c r="R1" s="97"/>
      <c r="S1" s="97"/>
      <c r="T1" s="97"/>
      <c r="U1" s="97"/>
      <c r="V1" s="97"/>
      <c r="W1" s="97"/>
      <c r="X1" s="97"/>
      <c r="Y1" s="97"/>
    </row>
    <row r="2" spans="1:105" ht="30" customHeight="1" x14ac:dyDescent="0.65">
      <c r="B2" s="46" t="s">
        <v>25</v>
      </c>
      <c r="C2" s="17"/>
      <c r="D2" s="18"/>
      <c r="E2" s="17"/>
      <c r="H2" s="101" t="s">
        <v>1</v>
      </c>
      <c r="I2" s="102"/>
      <c r="J2" s="102"/>
      <c r="K2" s="102"/>
      <c r="L2" s="102"/>
      <c r="M2" s="102"/>
      <c r="N2" s="102"/>
      <c r="O2" s="19"/>
      <c r="P2" s="96">
        <v>1</v>
      </c>
      <c r="Q2" s="97"/>
      <c r="R2" s="97"/>
      <c r="S2" s="97"/>
      <c r="T2" s="97"/>
      <c r="U2" s="97"/>
      <c r="V2" s="97"/>
      <c r="W2" s="97"/>
      <c r="X2" s="97"/>
      <c r="Y2" s="97"/>
    </row>
    <row r="3" spans="1:105" s="21" customFormat="1" ht="30" customHeight="1" x14ac:dyDescent="0.3">
      <c r="A3" s="11"/>
      <c r="B3" s="20"/>
      <c r="C3" s="22"/>
      <c r="D3" s="23"/>
    </row>
    <row r="4" spans="1:105" s="21" customFormat="1" ht="30" customHeight="1" x14ac:dyDescent="0.3">
      <c r="A4" s="12"/>
      <c r="B4" s="24"/>
      <c r="D4" s="25"/>
      <c r="H4" s="105">
        <f>H5</f>
        <v>46076</v>
      </c>
      <c r="I4" s="103"/>
      <c r="J4" s="103"/>
      <c r="K4" s="103"/>
      <c r="L4" s="103"/>
      <c r="M4" s="103"/>
      <c r="N4" s="103"/>
      <c r="O4" s="103">
        <f>O5</f>
        <v>46083</v>
      </c>
      <c r="P4" s="103"/>
      <c r="Q4" s="103"/>
      <c r="R4" s="103"/>
      <c r="S4" s="103"/>
      <c r="T4" s="103"/>
      <c r="U4" s="103"/>
      <c r="V4" s="103">
        <f>V5</f>
        <v>46090</v>
      </c>
      <c r="W4" s="103"/>
      <c r="X4" s="103"/>
      <c r="Y4" s="103"/>
      <c r="Z4" s="103"/>
      <c r="AA4" s="103"/>
      <c r="AB4" s="103"/>
      <c r="AC4" s="103">
        <f>AC5</f>
        <v>46097</v>
      </c>
      <c r="AD4" s="103"/>
      <c r="AE4" s="103"/>
      <c r="AF4" s="103"/>
      <c r="AG4" s="103"/>
      <c r="AH4" s="103"/>
      <c r="AI4" s="103"/>
      <c r="AJ4" s="103">
        <f>AJ5</f>
        <v>46104</v>
      </c>
      <c r="AK4" s="103"/>
      <c r="AL4" s="103"/>
      <c r="AM4" s="103"/>
      <c r="AN4" s="103"/>
      <c r="AO4" s="103"/>
      <c r="AP4" s="103"/>
      <c r="AQ4" s="103">
        <f>AQ5</f>
        <v>46111</v>
      </c>
      <c r="AR4" s="103"/>
      <c r="AS4" s="103"/>
      <c r="AT4" s="103"/>
      <c r="AU4" s="103"/>
      <c r="AV4" s="103"/>
      <c r="AW4" s="103"/>
      <c r="AX4" s="103">
        <f>AX5</f>
        <v>46118</v>
      </c>
      <c r="AY4" s="103"/>
      <c r="AZ4" s="103"/>
      <c r="BA4" s="103"/>
      <c r="BB4" s="103"/>
      <c r="BC4" s="103"/>
      <c r="BD4" s="103"/>
      <c r="BE4" s="103">
        <f>BE5</f>
        <v>46125</v>
      </c>
      <c r="BF4" s="103"/>
      <c r="BG4" s="103"/>
      <c r="BH4" s="103"/>
      <c r="BI4" s="103"/>
      <c r="BJ4" s="103"/>
      <c r="BK4" s="104"/>
      <c r="BL4" s="103">
        <f t="shared" ref="BL4" si="0">BL5</f>
        <v>46132</v>
      </c>
      <c r="BM4" s="103"/>
      <c r="BN4" s="103"/>
      <c r="BO4" s="103"/>
      <c r="BP4" s="103"/>
      <c r="BQ4" s="103"/>
      <c r="BR4" s="104"/>
      <c r="BS4" s="103">
        <f t="shared" ref="BS4" si="1">BS5</f>
        <v>46139</v>
      </c>
      <c r="BT4" s="103"/>
      <c r="BU4" s="103"/>
      <c r="BV4" s="103"/>
      <c r="BW4" s="103"/>
      <c r="BX4" s="103"/>
      <c r="BY4" s="104"/>
      <c r="BZ4" s="103">
        <f t="shared" ref="BZ4" si="2">BZ5</f>
        <v>46146</v>
      </c>
      <c r="CA4" s="103"/>
      <c r="CB4" s="103"/>
      <c r="CC4" s="103"/>
      <c r="CD4" s="103"/>
      <c r="CE4" s="103"/>
      <c r="CF4" s="104"/>
      <c r="CG4" s="103">
        <f t="shared" ref="CG4" si="3">CG5</f>
        <v>46153</v>
      </c>
      <c r="CH4" s="103"/>
      <c r="CI4" s="103"/>
      <c r="CJ4" s="103"/>
      <c r="CK4" s="103"/>
      <c r="CL4" s="103"/>
      <c r="CM4" s="104"/>
      <c r="CN4" s="103">
        <f t="shared" ref="CN4" si="4">CN5</f>
        <v>46160</v>
      </c>
      <c r="CO4" s="103"/>
      <c r="CP4" s="103"/>
      <c r="CQ4" s="103"/>
      <c r="CR4" s="103"/>
      <c r="CS4" s="103"/>
      <c r="CT4" s="104"/>
      <c r="CU4" s="103">
        <f t="shared" ref="CU4" si="5">CU5</f>
        <v>46167</v>
      </c>
      <c r="CV4" s="103"/>
      <c r="CW4" s="103"/>
      <c r="CX4" s="103"/>
      <c r="CY4" s="103"/>
      <c r="CZ4" s="103"/>
      <c r="DA4" s="104"/>
    </row>
    <row r="5" spans="1:105" s="21" customFormat="1" ht="15" customHeight="1" x14ac:dyDescent="0.3">
      <c r="A5" s="91"/>
      <c r="B5" s="92" t="s">
        <v>2</v>
      </c>
      <c r="C5" s="94" t="s">
        <v>3</v>
      </c>
      <c r="D5" s="94" t="s">
        <v>4</v>
      </c>
      <c r="E5" s="94" t="s">
        <v>5</v>
      </c>
      <c r="H5" s="26">
        <f>Project_Start-WEEKDAY(Project_Start,1)+2+7*(Display_Week-1)</f>
        <v>46076</v>
      </c>
      <c r="I5" s="26">
        <f>H5+1</f>
        <v>46077</v>
      </c>
      <c r="J5" s="26">
        <f t="shared" ref="J5:AW5" si="6">I5+1</f>
        <v>46078</v>
      </c>
      <c r="K5" s="26">
        <f t="shared" si="6"/>
        <v>46079</v>
      </c>
      <c r="L5" s="26">
        <f t="shared" si="6"/>
        <v>46080</v>
      </c>
      <c r="M5" s="26">
        <f t="shared" si="6"/>
        <v>46081</v>
      </c>
      <c r="N5" s="27">
        <f t="shared" si="6"/>
        <v>46082</v>
      </c>
      <c r="O5" s="28">
        <f>N5+1</f>
        <v>46083</v>
      </c>
      <c r="P5" s="26">
        <f>O5+1</f>
        <v>46084</v>
      </c>
      <c r="Q5" s="26">
        <f t="shared" si="6"/>
        <v>46085</v>
      </c>
      <c r="R5" s="26">
        <f t="shared" si="6"/>
        <v>46086</v>
      </c>
      <c r="S5" s="26">
        <f t="shared" si="6"/>
        <v>46087</v>
      </c>
      <c r="T5" s="26">
        <f t="shared" si="6"/>
        <v>46088</v>
      </c>
      <c r="U5" s="27">
        <f t="shared" si="6"/>
        <v>46089</v>
      </c>
      <c r="V5" s="28">
        <f>U5+1</f>
        <v>46090</v>
      </c>
      <c r="W5" s="26">
        <f>V5+1</f>
        <v>46091</v>
      </c>
      <c r="X5" s="26">
        <f t="shared" si="6"/>
        <v>46092</v>
      </c>
      <c r="Y5" s="26">
        <f t="shared" si="6"/>
        <v>46093</v>
      </c>
      <c r="Z5" s="26">
        <f t="shared" si="6"/>
        <v>46094</v>
      </c>
      <c r="AA5" s="26">
        <f t="shared" si="6"/>
        <v>46095</v>
      </c>
      <c r="AB5" s="27">
        <f t="shared" si="6"/>
        <v>46096</v>
      </c>
      <c r="AC5" s="28">
        <f>AB5+1</f>
        <v>46097</v>
      </c>
      <c r="AD5" s="26">
        <f>AC5+1</f>
        <v>46098</v>
      </c>
      <c r="AE5" s="26">
        <f t="shared" si="6"/>
        <v>46099</v>
      </c>
      <c r="AF5" s="26">
        <f t="shared" si="6"/>
        <v>46100</v>
      </c>
      <c r="AG5" s="26">
        <f t="shared" si="6"/>
        <v>46101</v>
      </c>
      <c r="AH5" s="26">
        <f t="shared" si="6"/>
        <v>46102</v>
      </c>
      <c r="AI5" s="27">
        <f t="shared" si="6"/>
        <v>46103</v>
      </c>
      <c r="AJ5" s="28">
        <f>AI5+1</f>
        <v>46104</v>
      </c>
      <c r="AK5" s="26">
        <f>AJ5+1</f>
        <v>46105</v>
      </c>
      <c r="AL5" s="26">
        <f t="shared" si="6"/>
        <v>46106</v>
      </c>
      <c r="AM5" s="26">
        <f t="shared" si="6"/>
        <v>46107</v>
      </c>
      <c r="AN5" s="26">
        <f t="shared" si="6"/>
        <v>46108</v>
      </c>
      <c r="AO5" s="26">
        <f t="shared" si="6"/>
        <v>46109</v>
      </c>
      <c r="AP5" s="27">
        <f t="shared" si="6"/>
        <v>46110</v>
      </c>
      <c r="AQ5" s="28">
        <f>AP5+1</f>
        <v>46111</v>
      </c>
      <c r="AR5" s="26">
        <f>AQ5+1</f>
        <v>46112</v>
      </c>
      <c r="AS5" s="26">
        <f t="shared" si="6"/>
        <v>46113</v>
      </c>
      <c r="AT5" s="26">
        <f t="shared" si="6"/>
        <v>46114</v>
      </c>
      <c r="AU5" s="26">
        <f t="shared" si="6"/>
        <v>46115</v>
      </c>
      <c r="AV5" s="26">
        <f t="shared" si="6"/>
        <v>46116</v>
      </c>
      <c r="AW5" s="27">
        <f t="shared" si="6"/>
        <v>46117</v>
      </c>
      <c r="AX5" s="28">
        <f>AW5+1</f>
        <v>46118</v>
      </c>
      <c r="AY5" s="26">
        <f>AX5+1</f>
        <v>46119</v>
      </c>
      <c r="AZ5" s="26">
        <f t="shared" ref="AZ5:BD5" si="7">AY5+1</f>
        <v>46120</v>
      </c>
      <c r="BA5" s="26">
        <f t="shared" si="7"/>
        <v>46121</v>
      </c>
      <c r="BB5" s="26">
        <f t="shared" si="7"/>
        <v>46122</v>
      </c>
      <c r="BC5" s="26">
        <f t="shared" si="7"/>
        <v>46123</v>
      </c>
      <c r="BD5" s="27">
        <f t="shared" si="7"/>
        <v>46124</v>
      </c>
      <c r="BE5" s="28">
        <f>BD5+1</f>
        <v>46125</v>
      </c>
      <c r="BF5" s="26">
        <f>BE5+1</f>
        <v>46126</v>
      </c>
      <c r="BG5" s="26">
        <f t="shared" ref="BG5:BK5" si="8">BF5+1</f>
        <v>46127</v>
      </c>
      <c r="BH5" s="26">
        <f t="shared" si="8"/>
        <v>46128</v>
      </c>
      <c r="BI5" s="26">
        <f t="shared" si="8"/>
        <v>46129</v>
      </c>
      <c r="BJ5" s="26">
        <f t="shared" si="8"/>
        <v>46130</v>
      </c>
      <c r="BK5" s="26">
        <f t="shared" si="8"/>
        <v>46131</v>
      </c>
      <c r="BL5" s="26">
        <f t="shared" ref="BL5" si="9">BK5+1</f>
        <v>46132</v>
      </c>
      <c r="BM5" s="26">
        <f t="shared" ref="BM5" si="10">BL5+1</f>
        <v>46133</v>
      </c>
      <c r="BN5" s="26">
        <f t="shared" ref="BN5" si="11">BM5+1</f>
        <v>46134</v>
      </c>
      <c r="BO5" s="26">
        <f t="shared" ref="BO5" si="12">BN5+1</f>
        <v>46135</v>
      </c>
      <c r="BP5" s="26">
        <f t="shared" ref="BP5" si="13">BO5+1</f>
        <v>46136</v>
      </c>
      <c r="BQ5" s="26">
        <f t="shared" ref="BQ5" si="14">BP5+1</f>
        <v>46137</v>
      </c>
      <c r="BR5" s="26">
        <f t="shared" ref="BR5" si="15">BQ5+1</f>
        <v>46138</v>
      </c>
      <c r="BS5" s="26">
        <f t="shared" ref="BS5" si="16">BR5+1</f>
        <v>46139</v>
      </c>
      <c r="BT5" s="26">
        <f t="shared" ref="BT5" si="17">BS5+1</f>
        <v>46140</v>
      </c>
      <c r="BU5" s="26">
        <f t="shared" ref="BU5" si="18">BT5+1</f>
        <v>46141</v>
      </c>
      <c r="BV5" s="26">
        <f t="shared" ref="BV5" si="19">BU5+1</f>
        <v>46142</v>
      </c>
      <c r="BW5" s="26">
        <f t="shared" ref="BW5" si="20">BV5+1</f>
        <v>46143</v>
      </c>
      <c r="BX5" s="26">
        <f t="shared" ref="BX5" si="21">BW5+1</f>
        <v>46144</v>
      </c>
      <c r="BY5" s="26">
        <f t="shared" ref="BY5" si="22">BX5+1</f>
        <v>46145</v>
      </c>
      <c r="BZ5" s="26">
        <f t="shared" ref="BZ5" si="23">BY5+1</f>
        <v>46146</v>
      </c>
      <c r="CA5" s="26">
        <f t="shared" ref="CA5" si="24">BZ5+1</f>
        <v>46147</v>
      </c>
      <c r="CB5" s="26">
        <f t="shared" ref="CB5" si="25">CA5+1</f>
        <v>46148</v>
      </c>
      <c r="CC5" s="26">
        <f t="shared" ref="CC5" si="26">CB5+1</f>
        <v>46149</v>
      </c>
      <c r="CD5" s="26">
        <f t="shared" ref="CD5" si="27">CC5+1</f>
        <v>46150</v>
      </c>
      <c r="CE5" s="26">
        <f t="shared" ref="CE5" si="28">CD5+1</f>
        <v>46151</v>
      </c>
      <c r="CF5" s="26">
        <f t="shared" ref="CF5" si="29">CE5+1</f>
        <v>46152</v>
      </c>
      <c r="CG5" s="26">
        <f t="shared" ref="CG5" si="30">CF5+1</f>
        <v>46153</v>
      </c>
      <c r="CH5" s="26">
        <f t="shared" ref="CH5" si="31">CG5+1</f>
        <v>46154</v>
      </c>
      <c r="CI5" s="26">
        <f t="shared" ref="CI5" si="32">CH5+1</f>
        <v>46155</v>
      </c>
      <c r="CJ5" s="26">
        <f t="shared" ref="CJ5" si="33">CI5+1</f>
        <v>46156</v>
      </c>
      <c r="CK5" s="26">
        <f t="shared" ref="CK5" si="34">CJ5+1</f>
        <v>46157</v>
      </c>
      <c r="CL5" s="26">
        <f t="shared" ref="CL5" si="35">CK5+1</f>
        <v>46158</v>
      </c>
      <c r="CM5" s="26">
        <f t="shared" ref="CM5" si="36">CL5+1</f>
        <v>46159</v>
      </c>
      <c r="CN5" s="26">
        <f t="shared" ref="CN5" si="37">CM5+1</f>
        <v>46160</v>
      </c>
      <c r="CO5" s="26">
        <f t="shared" ref="CO5" si="38">CN5+1</f>
        <v>46161</v>
      </c>
      <c r="CP5" s="26">
        <f t="shared" ref="CP5" si="39">CO5+1</f>
        <v>46162</v>
      </c>
      <c r="CQ5" s="26">
        <f t="shared" ref="CQ5" si="40">CP5+1</f>
        <v>46163</v>
      </c>
      <c r="CR5" s="26">
        <f t="shared" ref="CR5" si="41">CQ5+1</f>
        <v>46164</v>
      </c>
      <c r="CS5" s="26">
        <f t="shared" ref="CS5" si="42">CR5+1</f>
        <v>46165</v>
      </c>
      <c r="CT5" s="26">
        <f t="shared" ref="CT5" si="43">CS5+1</f>
        <v>46166</v>
      </c>
      <c r="CU5" s="26">
        <f t="shared" ref="CU5" si="44">CT5+1</f>
        <v>46167</v>
      </c>
      <c r="CV5" s="26">
        <f t="shared" ref="CV5" si="45">CU5+1</f>
        <v>46168</v>
      </c>
      <c r="CW5" s="26">
        <f t="shared" ref="CW5" si="46">CV5+1</f>
        <v>46169</v>
      </c>
      <c r="CX5" s="26">
        <f t="shared" ref="CX5" si="47">CW5+1</f>
        <v>46170</v>
      </c>
      <c r="CY5" s="26">
        <f t="shared" ref="CY5" si="48">CX5+1</f>
        <v>46171</v>
      </c>
      <c r="CZ5" s="26">
        <f t="shared" ref="CZ5" si="49">CY5+1</f>
        <v>46172</v>
      </c>
      <c r="DA5" s="26">
        <f t="shared" ref="DA5" si="50">CZ5+1</f>
        <v>46173</v>
      </c>
    </row>
    <row r="6" spans="1:105" s="21" customFormat="1" ht="15" customHeight="1" x14ac:dyDescent="0.3">
      <c r="A6" s="91"/>
      <c r="B6" s="93"/>
      <c r="C6" s="95"/>
      <c r="D6" s="95"/>
      <c r="E6" s="95"/>
      <c r="H6" s="29" t="str">
        <f t="shared" ref="H6:AM6" si="51">LEFT(TEXT(H5,"ddd"),1)</f>
        <v>M</v>
      </c>
      <c r="I6" s="30" t="str">
        <f t="shared" si="51"/>
        <v>T</v>
      </c>
      <c r="J6" s="30" t="str">
        <f t="shared" si="51"/>
        <v>W</v>
      </c>
      <c r="K6" s="30" t="str">
        <f t="shared" si="51"/>
        <v>T</v>
      </c>
      <c r="L6" s="30" t="str">
        <f t="shared" si="51"/>
        <v>F</v>
      </c>
      <c r="M6" s="30" t="str">
        <f t="shared" si="51"/>
        <v>S</v>
      </c>
      <c r="N6" s="30" t="str">
        <f t="shared" si="51"/>
        <v>S</v>
      </c>
      <c r="O6" s="30" t="str">
        <f t="shared" si="51"/>
        <v>M</v>
      </c>
      <c r="P6" s="30" t="str">
        <f t="shared" si="51"/>
        <v>T</v>
      </c>
      <c r="Q6" s="30" t="str">
        <f t="shared" si="51"/>
        <v>W</v>
      </c>
      <c r="R6" s="30" t="str">
        <f t="shared" si="51"/>
        <v>T</v>
      </c>
      <c r="S6" s="30" t="str">
        <f t="shared" si="51"/>
        <v>F</v>
      </c>
      <c r="T6" s="30" t="str">
        <f t="shared" si="51"/>
        <v>S</v>
      </c>
      <c r="U6" s="30" t="str">
        <f t="shared" si="51"/>
        <v>S</v>
      </c>
      <c r="V6" s="30" t="str">
        <f t="shared" si="51"/>
        <v>M</v>
      </c>
      <c r="W6" s="30" t="str">
        <f t="shared" si="51"/>
        <v>T</v>
      </c>
      <c r="X6" s="30" t="str">
        <f t="shared" si="51"/>
        <v>W</v>
      </c>
      <c r="Y6" s="30" t="str">
        <f t="shared" si="51"/>
        <v>T</v>
      </c>
      <c r="Z6" s="30" t="str">
        <f t="shared" si="51"/>
        <v>F</v>
      </c>
      <c r="AA6" s="30" t="str">
        <f t="shared" si="51"/>
        <v>S</v>
      </c>
      <c r="AB6" s="30" t="str">
        <f t="shared" si="51"/>
        <v>S</v>
      </c>
      <c r="AC6" s="30" t="str">
        <f t="shared" si="51"/>
        <v>M</v>
      </c>
      <c r="AD6" s="30" t="str">
        <f t="shared" si="51"/>
        <v>T</v>
      </c>
      <c r="AE6" s="30" t="str">
        <f t="shared" si="51"/>
        <v>W</v>
      </c>
      <c r="AF6" s="30" t="str">
        <f t="shared" si="51"/>
        <v>T</v>
      </c>
      <c r="AG6" s="30" t="str">
        <f t="shared" si="51"/>
        <v>F</v>
      </c>
      <c r="AH6" s="30" t="str">
        <f t="shared" si="51"/>
        <v>S</v>
      </c>
      <c r="AI6" s="30" t="str">
        <f t="shared" si="51"/>
        <v>S</v>
      </c>
      <c r="AJ6" s="30" t="str">
        <f t="shared" si="51"/>
        <v>M</v>
      </c>
      <c r="AK6" s="30" t="str">
        <f t="shared" si="51"/>
        <v>T</v>
      </c>
      <c r="AL6" s="30" t="str">
        <f t="shared" si="51"/>
        <v>W</v>
      </c>
      <c r="AM6" s="30" t="str">
        <f t="shared" si="51"/>
        <v>T</v>
      </c>
      <c r="AN6" s="30" t="str">
        <f t="shared" ref="AN6:CM6" si="52">LEFT(TEXT(AN5,"ddd"),1)</f>
        <v>F</v>
      </c>
      <c r="AO6" s="30" t="str">
        <f t="shared" si="52"/>
        <v>S</v>
      </c>
      <c r="AP6" s="30" t="str">
        <f t="shared" si="52"/>
        <v>S</v>
      </c>
      <c r="AQ6" s="30" t="str">
        <f t="shared" si="52"/>
        <v>M</v>
      </c>
      <c r="AR6" s="30" t="str">
        <f t="shared" si="52"/>
        <v>T</v>
      </c>
      <c r="AS6" s="30" t="str">
        <f t="shared" si="52"/>
        <v>W</v>
      </c>
      <c r="AT6" s="30" t="str">
        <f t="shared" si="52"/>
        <v>T</v>
      </c>
      <c r="AU6" s="30" t="str">
        <f t="shared" si="52"/>
        <v>F</v>
      </c>
      <c r="AV6" s="30" t="str">
        <f t="shared" si="52"/>
        <v>S</v>
      </c>
      <c r="AW6" s="30" t="str">
        <f t="shared" si="52"/>
        <v>S</v>
      </c>
      <c r="AX6" s="30" t="str">
        <f t="shared" si="52"/>
        <v>M</v>
      </c>
      <c r="AY6" s="30" t="str">
        <f t="shared" si="52"/>
        <v>T</v>
      </c>
      <c r="AZ6" s="30" t="str">
        <f t="shared" si="52"/>
        <v>W</v>
      </c>
      <c r="BA6" s="30" t="str">
        <f t="shared" si="52"/>
        <v>T</v>
      </c>
      <c r="BB6" s="30" t="str">
        <f t="shared" si="52"/>
        <v>F</v>
      </c>
      <c r="BC6" s="30" t="str">
        <f t="shared" si="52"/>
        <v>S</v>
      </c>
      <c r="BD6" s="30" t="str">
        <f t="shared" si="52"/>
        <v>S</v>
      </c>
      <c r="BE6" s="30" t="str">
        <f t="shared" si="52"/>
        <v>M</v>
      </c>
      <c r="BF6" s="30" t="str">
        <f t="shared" si="52"/>
        <v>T</v>
      </c>
      <c r="BG6" s="30" t="str">
        <f t="shared" si="52"/>
        <v>W</v>
      </c>
      <c r="BH6" s="30" t="str">
        <f t="shared" si="52"/>
        <v>T</v>
      </c>
      <c r="BI6" s="30" t="str">
        <f t="shared" si="52"/>
        <v>F</v>
      </c>
      <c r="BJ6" s="30" t="str">
        <f t="shared" si="52"/>
        <v>S</v>
      </c>
      <c r="BK6" s="31" t="str">
        <f t="shared" si="52"/>
        <v>S</v>
      </c>
      <c r="BL6" s="31" t="str">
        <f t="shared" si="52"/>
        <v>M</v>
      </c>
      <c r="BM6" s="31" t="str">
        <f t="shared" si="52"/>
        <v>T</v>
      </c>
      <c r="BN6" s="31" t="str">
        <f t="shared" si="52"/>
        <v>W</v>
      </c>
      <c r="BO6" s="31" t="str">
        <f t="shared" si="52"/>
        <v>T</v>
      </c>
      <c r="BP6" s="31" t="str">
        <f t="shared" si="52"/>
        <v>F</v>
      </c>
      <c r="BQ6" s="31" t="str">
        <f t="shared" si="52"/>
        <v>S</v>
      </c>
      <c r="BR6" s="31" t="str">
        <f t="shared" si="52"/>
        <v>S</v>
      </c>
      <c r="BS6" s="31" t="str">
        <f t="shared" si="52"/>
        <v>M</v>
      </c>
      <c r="BT6" s="31" t="str">
        <f t="shared" si="52"/>
        <v>T</v>
      </c>
      <c r="BU6" s="31" t="str">
        <f t="shared" si="52"/>
        <v>W</v>
      </c>
      <c r="BV6" s="31" t="str">
        <f t="shared" si="52"/>
        <v>T</v>
      </c>
      <c r="BW6" s="31" t="str">
        <f t="shared" si="52"/>
        <v>F</v>
      </c>
      <c r="BX6" s="31" t="str">
        <f t="shared" si="52"/>
        <v>S</v>
      </c>
      <c r="BY6" s="31" t="str">
        <f t="shared" si="52"/>
        <v>S</v>
      </c>
      <c r="BZ6" s="31" t="str">
        <f t="shared" si="52"/>
        <v>M</v>
      </c>
      <c r="CA6" s="31" t="str">
        <f t="shared" si="52"/>
        <v>T</v>
      </c>
      <c r="CB6" s="31" t="str">
        <f t="shared" si="52"/>
        <v>W</v>
      </c>
      <c r="CC6" s="31" t="str">
        <f t="shared" si="52"/>
        <v>T</v>
      </c>
      <c r="CD6" s="31" t="str">
        <f t="shared" si="52"/>
        <v>F</v>
      </c>
      <c r="CE6" s="31" t="str">
        <f t="shared" si="52"/>
        <v>S</v>
      </c>
      <c r="CF6" s="31" t="str">
        <f t="shared" si="52"/>
        <v>S</v>
      </c>
      <c r="CG6" s="31" t="str">
        <f t="shared" si="52"/>
        <v>M</v>
      </c>
      <c r="CH6" s="31" t="str">
        <f t="shared" si="52"/>
        <v>T</v>
      </c>
      <c r="CI6" s="31" t="str">
        <f t="shared" si="52"/>
        <v>W</v>
      </c>
      <c r="CJ6" s="31" t="str">
        <f t="shared" si="52"/>
        <v>T</v>
      </c>
      <c r="CK6" s="31" t="str">
        <f t="shared" si="52"/>
        <v>F</v>
      </c>
      <c r="CL6" s="31" t="str">
        <f t="shared" si="52"/>
        <v>S</v>
      </c>
      <c r="CM6" s="31" t="str">
        <f t="shared" si="52"/>
        <v>S</v>
      </c>
      <c r="CN6" s="31" t="str">
        <f t="shared" ref="CN6:DA6" si="53">LEFT(TEXT(CN5,"ddd"),1)</f>
        <v>M</v>
      </c>
      <c r="CO6" s="31" t="str">
        <f t="shared" si="53"/>
        <v>T</v>
      </c>
      <c r="CP6" s="31" t="str">
        <f t="shared" si="53"/>
        <v>W</v>
      </c>
      <c r="CQ6" s="31" t="str">
        <f t="shared" si="53"/>
        <v>T</v>
      </c>
      <c r="CR6" s="31" t="str">
        <f t="shared" si="53"/>
        <v>F</v>
      </c>
      <c r="CS6" s="31" t="str">
        <f t="shared" si="53"/>
        <v>S</v>
      </c>
      <c r="CT6" s="31" t="str">
        <f t="shared" si="53"/>
        <v>S</v>
      </c>
      <c r="CU6" s="31" t="str">
        <f t="shared" si="53"/>
        <v>M</v>
      </c>
      <c r="CV6" s="31" t="str">
        <f t="shared" si="53"/>
        <v>T</v>
      </c>
      <c r="CW6" s="31" t="str">
        <f t="shared" si="53"/>
        <v>W</v>
      </c>
      <c r="CX6" s="31" t="str">
        <f t="shared" si="53"/>
        <v>T</v>
      </c>
      <c r="CY6" s="31" t="str">
        <f t="shared" si="53"/>
        <v>F</v>
      </c>
      <c r="CZ6" s="31" t="str">
        <f t="shared" si="53"/>
        <v>S</v>
      </c>
      <c r="DA6" s="31" t="str">
        <f t="shared" si="53"/>
        <v>S</v>
      </c>
    </row>
    <row r="7" spans="1:105" s="21" customFormat="1" ht="30" hidden="1" customHeight="1" x14ac:dyDescent="0.3">
      <c r="A7" s="11" t="s">
        <v>6</v>
      </c>
      <c r="B7" s="32"/>
      <c r="C7" s="32"/>
      <c r="D7" s="32"/>
      <c r="E7" s="32"/>
      <c r="G7" s="21" t="str">
        <f>IF(OR(ISBLANK(task_start),ISBLANK(task_end)),"",task_end-task_start+1)</f>
        <v/>
      </c>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row>
    <row r="8" spans="1:105" s="35" customFormat="1" ht="30" customHeight="1" x14ac:dyDescent="0.3">
      <c r="A8" s="12"/>
      <c r="B8" s="61" t="s">
        <v>26</v>
      </c>
      <c r="C8" s="62"/>
      <c r="D8" s="63"/>
      <c r="E8" s="64"/>
      <c r="F8" s="13"/>
      <c r="G8" s="4" t="str">
        <f t="shared" ref="G8:G22" si="54">IF(OR(ISBLANK(task_start),ISBLANK(task_end)),"",task_end-task_start+1)</f>
        <v/>
      </c>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row>
    <row r="9" spans="1:105" s="35" customFormat="1" ht="30" customHeight="1" x14ac:dyDescent="0.3">
      <c r="A9" s="12"/>
      <c r="B9" s="65" t="s">
        <v>7</v>
      </c>
      <c r="C9" s="66">
        <v>1</v>
      </c>
      <c r="D9" s="67">
        <f>Project_Start</f>
        <v>46076</v>
      </c>
      <c r="E9" s="67">
        <f>DATE(2026, 2,23)</f>
        <v>46076</v>
      </c>
      <c r="F9" s="13"/>
      <c r="G9" s="4">
        <f t="shared" si="54"/>
        <v>1</v>
      </c>
      <c r="H9" s="36"/>
      <c r="I9" s="36"/>
      <c r="J9" s="55"/>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c r="BS9" s="36"/>
      <c r="BT9" s="36"/>
      <c r="BU9" s="36"/>
      <c r="BV9" s="36"/>
      <c r="BW9" s="36"/>
      <c r="BX9" s="36"/>
      <c r="BY9" s="36"/>
      <c r="BZ9" s="36"/>
      <c r="CA9" s="36"/>
      <c r="CB9" s="36"/>
      <c r="CC9" s="36"/>
      <c r="CD9" s="36"/>
      <c r="CE9" s="36"/>
      <c r="CF9" s="36"/>
      <c r="CG9" s="36"/>
      <c r="CH9" s="36"/>
      <c r="CI9" s="36"/>
      <c r="CJ9" s="36"/>
      <c r="CK9" s="36"/>
      <c r="CL9" s="36"/>
      <c r="CM9" s="36"/>
      <c r="CN9" s="36"/>
      <c r="CO9" s="36"/>
      <c r="CP9" s="36"/>
      <c r="CQ9" s="36"/>
      <c r="CR9" s="36"/>
      <c r="CS9" s="36"/>
      <c r="CT9" s="36"/>
      <c r="CU9" s="36"/>
      <c r="CV9" s="36"/>
      <c r="CW9" s="36"/>
      <c r="CX9" s="36"/>
      <c r="CY9" s="36"/>
      <c r="CZ9" s="36"/>
      <c r="DA9" s="36"/>
    </row>
    <row r="10" spans="1:105" s="35" customFormat="1" ht="30" customHeight="1" x14ac:dyDescent="0.3">
      <c r="A10" s="12"/>
      <c r="B10" s="68" t="s">
        <v>8</v>
      </c>
      <c r="C10" s="69">
        <v>1</v>
      </c>
      <c r="D10" s="70">
        <f>Project_Start</f>
        <v>46076</v>
      </c>
      <c r="E10" s="70">
        <f>DATE(2026,2,24)</f>
        <v>46077</v>
      </c>
      <c r="F10" s="13"/>
      <c r="G10" s="4">
        <f t="shared" si="54"/>
        <v>2</v>
      </c>
      <c r="H10" s="36"/>
      <c r="I10" s="36"/>
      <c r="J10" s="55"/>
      <c r="K10" s="36"/>
      <c r="L10" s="36"/>
      <c r="M10" s="36"/>
      <c r="N10" s="36"/>
      <c r="O10" s="36"/>
      <c r="P10" s="36"/>
      <c r="Q10" s="36"/>
      <c r="R10" s="36"/>
      <c r="S10" s="36"/>
      <c r="T10" s="37"/>
      <c r="U10" s="37"/>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row>
    <row r="11" spans="1:105" s="35" customFormat="1" ht="30" customHeight="1" x14ac:dyDescent="0.3">
      <c r="A11" s="11"/>
      <c r="B11" s="68" t="s">
        <v>9</v>
      </c>
      <c r="C11" s="69">
        <v>1</v>
      </c>
      <c r="D11" s="70">
        <f>DATE(2026, 2,24)</f>
        <v>46077</v>
      </c>
      <c r="E11" s="70">
        <f>DATE(2026, 2,26)</f>
        <v>46079</v>
      </c>
      <c r="F11" s="13"/>
      <c r="G11" s="4">
        <f t="shared" si="54"/>
        <v>3</v>
      </c>
      <c r="H11" s="36"/>
      <c r="I11" s="36"/>
      <c r="J11" s="55"/>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6"/>
      <c r="BM11" s="36"/>
      <c r="BN11" s="36"/>
      <c r="BO11" s="36"/>
      <c r="BP11" s="36"/>
      <c r="BQ11" s="36"/>
      <c r="BR11" s="36"/>
      <c r="BS11" s="36"/>
      <c r="BT11" s="36"/>
      <c r="BU11" s="36"/>
      <c r="BV11" s="36"/>
      <c r="BW11" s="36"/>
      <c r="BX11" s="36"/>
      <c r="BY11" s="36"/>
      <c r="BZ11" s="36"/>
      <c r="CA11" s="36"/>
      <c r="CB11" s="36"/>
      <c r="CC11" s="36"/>
      <c r="CD11" s="36"/>
      <c r="CE11" s="36"/>
      <c r="CF11" s="36"/>
      <c r="CG11" s="36"/>
      <c r="CH11" s="36"/>
      <c r="CI11" s="36"/>
      <c r="CJ11" s="36"/>
      <c r="CK11" s="36"/>
      <c r="CL11" s="36"/>
      <c r="CM11" s="36"/>
      <c r="CN11" s="36"/>
      <c r="CO11" s="36"/>
      <c r="CP11" s="36"/>
      <c r="CQ11" s="36"/>
      <c r="CR11" s="36"/>
      <c r="CS11" s="36"/>
      <c r="CT11" s="36"/>
      <c r="CU11" s="36"/>
      <c r="CV11" s="36"/>
      <c r="CW11" s="36"/>
      <c r="CX11" s="36"/>
      <c r="CY11" s="36"/>
      <c r="CZ11" s="36"/>
      <c r="DA11" s="36"/>
    </row>
    <row r="12" spans="1:105" s="35" customFormat="1" ht="30" customHeight="1" x14ac:dyDescent="0.3">
      <c r="A12" s="11"/>
      <c r="B12" s="68" t="s">
        <v>10</v>
      </c>
      <c r="C12" s="69">
        <v>1</v>
      </c>
      <c r="D12" s="70">
        <f>DATE(2026, 2,27)</f>
        <v>46080</v>
      </c>
      <c r="E12" s="70">
        <f>DATE(2026, 2,28)</f>
        <v>46081</v>
      </c>
      <c r="F12" s="13"/>
      <c r="G12" s="4">
        <f t="shared" si="54"/>
        <v>2</v>
      </c>
      <c r="H12" s="36"/>
      <c r="I12" s="36"/>
      <c r="J12" s="55"/>
      <c r="K12" s="36"/>
      <c r="L12" s="36"/>
      <c r="M12" s="36"/>
      <c r="N12" s="55"/>
      <c r="O12" s="36"/>
      <c r="P12" s="36"/>
      <c r="Q12" s="36"/>
      <c r="R12" s="36"/>
      <c r="S12" s="36"/>
      <c r="T12" s="36"/>
      <c r="U12" s="36"/>
      <c r="V12" s="36"/>
      <c r="W12" s="36"/>
      <c r="X12" s="37"/>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row>
    <row r="13" spans="1:105" s="35" customFormat="1" ht="30" customHeight="1" x14ac:dyDescent="0.3">
      <c r="A13" s="12"/>
      <c r="B13" s="57" t="s">
        <v>30</v>
      </c>
      <c r="C13" s="58"/>
      <c r="D13" s="59"/>
      <c r="E13" s="60"/>
      <c r="F13" s="13"/>
      <c r="G13" s="4" t="str">
        <f t="shared" si="54"/>
        <v/>
      </c>
    </row>
    <row r="14" spans="1:105" s="35" customFormat="1" ht="30" customHeight="1" thickBot="1" x14ac:dyDescent="0.35">
      <c r="A14" s="12"/>
      <c r="B14" s="71" t="s">
        <v>31</v>
      </c>
      <c r="C14" s="72">
        <v>1</v>
      </c>
      <c r="D14" s="73">
        <f>DATE(2026, 2,25)</f>
        <v>46078</v>
      </c>
      <c r="E14" s="73">
        <f>D14+14</f>
        <v>46092</v>
      </c>
      <c r="F14" s="13"/>
      <c r="G14" s="4">
        <f t="shared" si="54"/>
        <v>15</v>
      </c>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row>
    <row r="15" spans="1:105" s="35" customFormat="1" ht="30" customHeight="1" thickBot="1" x14ac:dyDescent="0.35">
      <c r="A15" s="56"/>
      <c r="B15" s="71" t="s">
        <v>33</v>
      </c>
      <c r="C15" s="72">
        <v>0</v>
      </c>
      <c r="D15" s="73">
        <f>DATE(2026, 3,12)</f>
        <v>46093</v>
      </c>
      <c r="E15" s="73">
        <f>D15+18</f>
        <v>46111</v>
      </c>
      <c r="F15" s="13"/>
      <c r="G15" s="4">
        <f t="shared" si="54"/>
        <v>19</v>
      </c>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row>
    <row r="16" spans="1:105" s="35" customFormat="1" ht="30" customHeight="1" thickBot="1" x14ac:dyDescent="0.35">
      <c r="A16" s="11"/>
      <c r="B16" s="71" t="s">
        <v>32</v>
      </c>
      <c r="C16" s="72">
        <v>0</v>
      </c>
      <c r="D16" s="73">
        <f>DATE(2026, 3,22)</f>
        <v>46103</v>
      </c>
      <c r="E16" s="73">
        <f>D16+13</f>
        <v>46116</v>
      </c>
      <c r="F16" s="13"/>
      <c r="G16" s="4">
        <f t="shared" si="54"/>
        <v>14</v>
      </c>
      <c r="H16" s="36"/>
      <c r="I16" s="36"/>
      <c r="J16" s="36"/>
      <c r="K16" s="36"/>
      <c r="L16" s="36"/>
      <c r="M16" s="36"/>
      <c r="N16" s="36"/>
      <c r="O16" s="36"/>
      <c r="P16" s="36"/>
      <c r="Q16" s="36"/>
      <c r="R16" s="36"/>
      <c r="S16" s="36"/>
      <c r="T16" s="37"/>
      <c r="U16" s="37"/>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row>
    <row r="17" spans="1:106" s="35" customFormat="1" ht="30" customHeight="1" thickBot="1" x14ac:dyDescent="0.35">
      <c r="A17" s="11"/>
      <c r="B17" s="71" t="s">
        <v>36</v>
      </c>
      <c r="C17" s="72">
        <v>0</v>
      </c>
      <c r="D17" s="73">
        <f>DATE(2026, 4,5)</f>
        <v>46117</v>
      </c>
      <c r="E17" s="73">
        <f>D17+5</f>
        <v>46122</v>
      </c>
      <c r="F17" s="13"/>
      <c r="G17" s="4">
        <f t="shared" si="54"/>
        <v>6</v>
      </c>
      <c r="H17" s="36"/>
      <c r="I17" s="36"/>
      <c r="J17" s="36"/>
      <c r="K17" s="36"/>
      <c r="L17" s="36"/>
      <c r="M17" s="36"/>
      <c r="N17" s="36"/>
      <c r="O17" s="36"/>
      <c r="P17" s="36"/>
      <c r="Q17" s="36"/>
      <c r="R17" s="36"/>
      <c r="S17" s="36"/>
      <c r="T17" s="37"/>
      <c r="U17" s="37"/>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row>
    <row r="18" spans="1:106" s="35" customFormat="1" ht="30" customHeight="1" thickBot="1" x14ac:dyDescent="0.35">
      <c r="A18" s="11"/>
      <c r="B18" s="38" t="s">
        <v>35</v>
      </c>
      <c r="C18" s="39"/>
      <c r="D18" s="40"/>
      <c r="E18" s="41"/>
      <c r="F18" s="13"/>
      <c r="G18" s="4" t="str">
        <f t="shared" si="54"/>
        <v/>
      </c>
      <c r="H18" s="42"/>
      <c r="I18" s="42"/>
      <c r="J18" s="42"/>
      <c r="K18" s="42"/>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row>
    <row r="19" spans="1:106" s="35" customFormat="1" ht="30" customHeight="1" thickBot="1" x14ac:dyDescent="0.35">
      <c r="A19" s="11"/>
      <c r="B19" s="43" t="s">
        <v>34</v>
      </c>
      <c r="C19" s="44">
        <v>0</v>
      </c>
      <c r="D19" s="45">
        <f>DATE(2026, 4,15)</f>
        <v>46127</v>
      </c>
      <c r="E19" s="45">
        <f>D19+3</f>
        <v>46130</v>
      </c>
      <c r="F19" s="13"/>
      <c r="G19" s="4">
        <f t="shared" si="54"/>
        <v>4</v>
      </c>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c r="BM19" s="36"/>
      <c r="BN19" s="36"/>
      <c r="BO19" s="36"/>
      <c r="BP19" s="36"/>
      <c r="BQ19" s="36"/>
      <c r="BR19" s="36"/>
      <c r="BS19" s="36"/>
      <c r="BT19" s="36"/>
      <c r="BU19" s="36"/>
      <c r="BV19" s="36"/>
      <c r="BW19" s="36"/>
      <c r="BX19" s="36"/>
      <c r="BY19" s="36"/>
      <c r="BZ19" s="36"/>
      <c r="CA19" s="36"/>
      <c r="CB19" s="36"/>
      <c r="CC19" s="36"/>
      <c r="CD19" s="36"/>
      <c r="CE19" s="36"/>
      <c r="CF19" s="36"/>
      <c r="CG19" s="36"/>
      <c r="CH19" s="36"/>
      <c r="CI19" s="36"/>
      <c r="CJ19" s="36"/>
      <c r="CK19" s="36"/>
      <c r="CL19" s="36"/>
      <c r="CM19" s="36"/>
      <c r="CN19" s="36"/>
      <c r="CO19" s="36"/>
      <c r="CP19" s="36"/>
      <c r="CQ19" s="36"/>
      <c r="CR19" s="36"/>
      <c r="CS19" s="36"/>
      <c r="CT19" s="36"/>
      <c r="CU19" s="36"/>
      <c r="CV19" s="36"/>
      <c r="CW19" s="36"/>
      <c r="CX19" s="36"/>
      <c r="CY19" s="36"/>
      <c r="CZ19" s="36"/>
      <c r="DA19" s="36"/>
    </row>
    <row r="20" spans="1:106" s="35" customFormat="1" ht="30" customHeight="1" thickBot="1" x14ac:dyDescent="0.35">
      <c r="A20" s="11"/>
      <c r="B20" s="43" t="s">
        <v>37</v>
      </c>
      <c r="C20" s="44">
        <v>0</v>
      </c>
      <c r="D20" s="45">
        <f>E19+1</f>
        <v>46131</v>
      </c>
      <c r="E20" s="45">
        <f>D20+10</f>
        <v>46141</v>
      </c>
      <c r="F20" s="13"/>
      <c r="G20" s="4">
        <f t="shared" si="54"/>
        <v>11</v>
      </c>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row>
    <row r="21" spans="1:106" s="35" customFormat="1" ht="30" customHeight="1" thickBot="1" x14ac:dyDescent="0.35">
      <c r="A21" s="11"/>
      <c r="B21" s="43" t="s">
        <v>41</v>
      </c>
      <c r="C21" s="44">
        <v>0</v>
      </c>
      <c r="D21" s="45">
        <f>DATE(2026,5,1)</f>
        <v>46143</v>
      </c>
      <c r="E21" s="45">
        <f>D21+3</f>
        <v>46146</v>
      </c>
      <c r="F21" s="13"/>
      <c r="G21" s="4">
        <f t="shared" si="54"/>
        <v>4</v>
      </c>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row>
    <row r="22" spans="1:106" s="35" customFormat="1" ht="30" customHeight="1" thickBot="1" x14ac:dyDescent="0.35">
      <c r="A22" s="11"/>
      <c r="B22" s="74" t="s">
        <v>27</v>
      </c>
      <c r="C22" s="75"/>
      <c r="D22" s="76"/>
      <c r="E22" s="77"/>
      <c r="F22" s="13"/>
      <c r="G22" s="4" t="str">
        <f t="shared" si="54"/>
        <v/>
      </c>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row>
    <row r="23" spans="1:106" s="35" customFormat="1" ht="30" customHeight="1" x14ac:dyDescent="0.3">
      <c r="A23" s="11"/>
      <c r="B23" s="78" t="s">
        <v>40</v>
      </c>
      <c r="C23" s="79">
        <v>0</v>
      </c>
      <c r="D23" s="80">
        <f>DATE(2026,4,25)</f>
        <v>46137</v>
      </c>
      <c r="E23" s="80">
        <f>D23+5</f>
        <v>46142</v>
      </c>
      <c r="F23" s="3"/>
      <c r="G23"/>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row>
    <row r="24" spans="1:106" s="35" customFormat="1" ht="30" customHeight="1" x14ac:dyDescent="0.3">
      <c r="A24" s="11"/>
      <c r="B24" s="78" t="s">
        <v>44</v>
      </c>
      <c r="C24" s="79">
        <v>0</v>
      </c>
      <c r="D24" s="80">
        <f>DATE(2026,4,30)</f>
        <v>46142</v>
      </c>
      <c r="E24" s="80">
        <f>D24+14</f>
        <v>46156</v>
      </c>
      <c r="F24"/>
      <c r="G24"/>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row>
    <row r="25" spans="1:106" s="35" customFormat="1" ht="30" customHeight="1" x14ac:dyDescent="0.3">
      <c r="A25" s="11"/>
      <c r="B25" s="78" t="s">
        <v>43</v>
      </c>
      <c r="C25" s="79">
        <v>0</v>
      </c>
      <c r="D25" s="80">
        <f>DATE(2026,5,7)</f>
        <v>46149</v>
      </c>
      <c r="E25" s="80">
        <f>D25+15</f>
        <v>46164</v>
      </c>
      <c r="F25"/>
      <c r="G25"/>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row>
    <row r="26" spans="1:106" s="35" customFormat="1" ht="30" customHeight="1" x14ac:dyDescent="0.3">
      <c r="A26" s="11"/>
      <c r="B26" s="78" t="s">
        <v>42</v>
      </c>
      <c r="C26" s="79">
        <v>0</v>
      </c>
      <c r="D26" s="80">
        <f>E25</f>
        <v>46164</v>
      </c>
      <c r="E26" s="80">
        <f>D26+4</f>
        <v>46168</v>
      </c>
      <c r="F26"/>
      <c r="G2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row>
    <row r="27" spans="1:106" ht="30" customHeight="1" x14ac:dyDescent="0.3">
      <c r="B27" s="81" t="s">
        <v>28</v>
      </c>
      <c r="C27" s="82"/>
      <c r="D27" s="83"/>
      <c r="E27" s="84"/>
      <c r="DB27" s="35"/>
    </row>
    <row r="28" spans="1:106" ht="30" customHeight="1" x14ac:dyDescent="0.3">
      <c r="B28" s="85" t="s">
        <v>38</v>
      </c>
      <c r="C28" s="86">
        <v>0</v>
      </c>
      <c r="D28" s="87">
        <f>DATE(2026,5,27)</f>
        <v>46169</v>
      </c>
      <c r="E28" s="87">
        <f>D28</f>
        <v>46169</v>
      </c>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row>
    <row r="29" spans="1:106" ht="30" customHeight="1" x14ac:dyDescent="0.3">
      <c r="B29" s="88" t="s">
        <v>39</v>
      </c>
      <c r="C29" s="89">
        <v>0</v>
      </c>
      <c r="D29" s="90">
        <f>E28+1</f>
        <v>46170</v>
      </c>
      <c r="E29" s="90">
        <f>D29+3</f>
        <v>46173</v>
      </c>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36"/>
      <c r="BU29" s="36"/>
      <c r="BV29" s="36"/>
      <c r="BW29" s="36"/>
      <c r="BX29" s="36"/>
      <c r="BY29" s="36"/>
      <c r="BZ29" s="36"/>
      <c r="CA29" s="36"/>
      <c r="CB29" s="36"/>
      <c r="CC29" s="36"/>
      <c r="CD29" s="36"/>
      <c r="CE29" s="36"/>
      <c r="CF29" s="36"/>
      <c r="CG29" s="36"/>
      <c r="CH29" s="36"/>
      <c r="CI29" s="36"/>
      <c r="CJ29" s="36"/>
      <c r="CK29" s="36"/>
      <c r="CL29" s="36"/>
      <c r="CM29" s="36"/>
      <c r="CN29" s="36"/>
      <c r="CO29" s="36"/>
      <c r="CP29" s="36"/>
      <c r="CQ29" s="36"/>
      <c r="CR29" s="36"/>
      <c r="CS29" s="36"/>
      <c r="CT29" s="36"/>
      <c r="CU29" s="36"/>
      <c r="CV29" s="36"/>
      <c r="CW29" s="36"/>
      <c r="CX29" s="36"/>
      <c r="CY29" s="36"/>
      <c r="CZ29" s="36"/>
      <c r="DA29" s="36"/>
    </row>
  </sheetData>
  <mergeCells count="23">
    <mergeCell ref="CU4:DA4"/>
    <mergeCell ref="BL4:BR4"/>
    <mergeCell ref="BS4:BY4"/>
    <mergeCell ref="BZ4:CF4"/>
    <mergeCell ref="CG4:CM4"/>
    <mergeCell ref="CN4:CT4"/>
    <mergeCell ref="P2:Y2"/>
    <mergeCell ref="P1:Y1"/>
    <mergeCell ref="H1:N1"/>
    <mergeCell ref="H2:N2"/>
    <mergeCell ref="BE4:BK4"/>
    <mergeCell ref="H4:N4"/>
    <mergeCell ref="O4:U4"/>
    <mergeCell ref="V4:AB4"/>
    <mergeCell ref="AC4:AI4"/>
    <mergeCell ref="AJ4:AP4"/>
    <mergeCell ref="AQ4:AW4"/>
    <mergeCell ref="AX4:BD4"/>
    <mergeCell ref="A5:A6"/>
    <mergeCell ref="B5:B6"/>
    <mergeCell ref="C5:C6"/>
    <mergeCell ref="D5:D6"/>
    <mergeCell ref="E5:E6"/>
  </mergeCells>
  <conditionalFormatting sqref="C7:C14 C26 C17:C23">
    <cfRule type="dataBar" priority="4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H4:BK14 BL4:DA6 BL9:DA12 BL14:DA14 BL19:DA21 BL17:DA17 H17:BK21 H23:DA23 H26:DA26">
    <cfRule type="expression" dxfId="20" priority="21">
      <formula>AND(TODAY()&gt;=H$5, TODAY()&lt;I$5)</formula>
    </cfRule>
  </conditionalFormatting>
  <conditionalFormatting sqref="H9:DA12">
    <cfRule type="expression" dxfId="19" priority="26">
      <formula>AND(task_start&lt;=H$5,ROUNDDOWN((task_end-task_start+1)*task_progress,0)+task_start-1&gt;=H$5)</formula>
    </cfRule>
    <cfRule type="expression" dxfId="18" priority="27" stopIfTrue="1">
      <formula>AND(task_end&gt;=H$5,task_start&lt;I$5)</formula>
    </cfRule>
  </conditionalFormatting>
  <conditionalFormatting sqref="H14:DA14 H17:DA17">
    <cfRule type="expression" dxfId="17" priority="24">
      <formula>AND(task_start&lt;=H$5,ROUNDDOWN((task_end-task_start+1)*task_progress,0)+task_start-1&gt;=H$5)</formula>
    </cfRule>
    <cfRule type="expression" dxfId="16" priority="25" stopIfTrue="1">
      <formula>AND(task_end&gt;=H$5,task_start&lt;I$5)</formula>
    </cfRule>
  </conditionalFormatting>
  <conditionalFormatting sqref="H19:DA21">
    <cfRule type="expression" dxfId="15" priority="22">
      <formula>AND(task_start&lt;=H$5,ROUNDDOWN((task_end-task_start+1)*task_progress,0)+task_start-1&gt;=H$5)</formula>
    </cfRule>
    <cfRule type="expression" dxfId="14" priority="23" stopIfTrue="1">
      <formula>AND(task_end&gt;=H$5,task_start&lt;I$5)</formula>
    </cfRule>
  </conditionalFormatting>
  <conditionalFormatting sqref="C27:C29">
    <cfRule type="dataBar" priority="19">
      <dataBar>
        <cfvo type="num" val="0"/>
        <cfvo type="num" val="1"/>
        <color theme="0"/>
      </dataBar>
      <extLst>
        <ext xmlns:x14="http://schemas.microsoft.com/office/spreadsheetml/2009/9/main" uri="{B025F937-C7B1-47D3-B67F-A62EFF666E3E}">
          <x14:id>{3E8D0838-B5F6-4002-A217-F304415BABC2}</x14:id>
        </ext>
      </extLst>
    </cfRule>
  </conditionalFormatting>
  <conditionalFormatting sqref="H28:DA29">
    <cfRule type="expression" dxfId="13" priority="13">
      <formula>AND(TODAY()&gt;=H$5, TODAY()&lt;I$5)</formula>
    </cfRule>
  </conditionalFormatting>
  <conditionalFormatting sqref="H23:DA23 H26:DA26">
    <cfRule type="expression" dxfId="12" priority="17">
      <formula>AND(task_start&lt;=H$5,ROUNDDOWN((task_end-task_start+1)*task_progress,0)+task_start-1&gt;=H$5)</formula>
    </cfRule>
    <cfRule type="expression" dxfId="11" priority="18" stopIfTrue="1">
      <formula>AND(task_end&gt;=H$5,task_start&lt;I$5)</formula>
    </cfRule>
  </conditionalFormatting>
  <conditionalFormatting sqref="H28:DA29">
    <cfRule type="expression" dxfId="10" priority="14">
      <formula>AND(task_start&lt;=H$5,ROUNDDOWN((task_end-task_start+1)*task_progress,0)+task_start-1&gt;=H$5)</formula>
    </cfRule>
    <cfRule type="expression" dxfId="9" priority="15" stopIfTrue="1">
      <formula>AND(task_end&gt;=H$5,task_start&lt;I$5)</formula>
    </cfRule>
  </conditionalFormatting>
  <conditionalFormatting sqref="C15">
    <cfRule type="dataBar" priority="12">
      <dataBar>
        <cfvo type="num" val="0"/>
        <cfvo type="num" val="1"/>
        <color theme="0"/>
      </dataBar>
      <extLst>
        <ext xmlns:x14="http://schemas.microsoft.com/office/spreadsheetml/2009/9/main" uri="{B025F937-C7B1-47D3-B67F-A62EFF666E3E}">
          <x14:id>{932BF9D8-7305-461A-A1A9-4E2EEAF7AC64}</x14:id>
        </ext>
      </extLst>
    </cfRule>
  </conditionalFormatting>
  <conditionalFormatting sqref="H15:DA15">
    <cfRule type="expression" dxfId="8" priority="9">
      <formula>AND(TODAY()&gt;=H$5, TODAY()&lt;I$5)</formula>
    </cfRule>
  </conditionalFormatting>
  <conditionalFormatting sqref="H15:DA15">
    <cfRule type="expression" dxfId="7" priority="10">
      <formula>AND(task_start&lt;=H$5,ROUNDDOWN((task_end-task_start+1)*task_progress,0)+task_start-1&gt;=H$5)</formula>
    </cfRule>
    <cfRule type="expression" dxfId="6" priority="11" stopIfTrue="1">
      <formula>AND(task_end&gt;=H$5,task_start&lt;I$5)</formula>
    </cfRule>
  </conditionalFormatting>
  <conditionalFormatting sqref="C16">
    <cfRule type="dataBar" priority="8">
      <dataBar>
        <cfvo type="num" val="0"/>
        <cfvo type="num" val="1"/>
        <color theme="0"/>
      </dataBar>
      <extLst>
        <ext xmlns:x14="http://schemas.microsoft.com/office/spreadsheetml/2009/9/main" uri="{B025F937-C7B1-47D3-B67F-A62EFF666E3E}">
          <x14:id>{025BA848-6C86-4B20-AEFA-BFA80C64784E}</x14:id>
        </ext>
      </extLst>
    </cfRule>
  </conditionalFormatting>
  <conditionalFormatting sqref="H16:DA16">
    <cfRule type="expression" dxfId="5" priority="5">
      <formula>AND(TODAY()&gt;=H$5, TODAY()&lt;I$5)</formula>
    </cfRule>
  </conditionalFormatting>
  <conditionalFormatting sqref="H16:DA16">
    <cfRule type="expression" dxfId="4" priority="6">
      <formula>AND(task_start&lt;=H$5,ROUNDDOWN((task_end-task_start+1)*task_progress,0)+task_start-1&gt;=H$5)</formula>
    </cfRule>
    <cfRule type="expression" dxfId="3" priority="7" stopIfTrue="1">
      <formula>AND(task_end&gt;=H$5,task_start&lt;I$5)</formula>
    </cfRule>
  </conditionalFormatting>
  <conditionalFormatting sqref="C24:C25">
    <cfRule type="dataBar" priority="4">
      <dataBar>
        <cfvo type="num" val="0"/>
        <cfvo type="num" val="1"/>
        <color theme="0"/>
      </dataBar>
      <extLst>
        <ext xmlns:x14="http://schemas.microsoft.com/office/spreadsheetml/2009/9/main" uri="{B025F937-C7B1-47D3-B67F-A62EFF666E3E}">
          <x14:id>{CE2DD641-38C1-42D3-915B-96F075486338}</x14:id>
        </ext>
      </extLst>
    </cfRule>
  </conditionalFormatting>
  <conditionalFormatting sqref="H24:DA25">
    <cfRule type="expression" dxfId="2" priority="3">
      <formula>AND(TODAY()&gt;=H$5, TODAY()&lt;I$5)</formula>
    </cfRule>
  </conditionalFormatting>
  <conditionalFormatting sqref="H24:DA25">
    <cfRule type="expression" dxfId="1" priority="1">
      <formula>AND(task_start&lt;=H$5,ROUNDDOWN((task_end-task_start+1)*task_progress,0)+task_start-1&gt;=H$5)</formula>
    </cfRule>
    <cfRule type="expression" dxfId="0" priority="2" stopIfTrue="1">
      <formula>AND(task_end&gt;=H$5,task_start&lt;I$5)</formula>
    </cfRule>
  </conditionalFormatting>
  <dataValidations count="12">
    <dataValidation type="whole" operator="greaterThanOrEqual" allowBlank="1" showInputMessage="1" promptTitle="Display Week" prompt="Changing this number will scroll the Gantt Chart view." sqref="P2">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dataValidation allowBlank="1" showInputMessage="1" showErrorMessage="1" prompt="Enter Company name in cel B2." sqref="A2"/>
    <dataValidation allowBlank="1" showInputMessage="1" showErrorMessage="1" prompt="Enter the name of the Project Lead in cell C3. Enter the Project Start date in cell Q1. Project Start: label is in cell I1." sqref="A3"/>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dataValidation allowBlank="1" showInputMessage="1" showErrorMessage="1" prompt="Cell B8 contains the Phase 1 sample title. Enter a new title in cell B8._x000a_To delete the phase and work only from tasks, simply delete this row." sqref="A8"/>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3"/>
    <dataValidation allowBlank="1" showInputMessage="1" showErrorMessage="1" prompt="Phase 3's sample block starts in cell B20." sqref="A18"/>
    <dataValidation allowBlank="1" showInputMessage="1" showErrorMessage="1" prompt="Phase 4's sample block starts in cell B26." sqref="A22"/>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C7:C14 C26 C17:C23</xm:sqref>
        </x14:conditionalFormatting>
        <x14:conditionalFormatting xmlns:xm="http://schemas.microsoft.com/office/excel/2006/main">
          <x14:cfRule type="dataBar" id="{3E8D0838-B5F6-4002-A217-F304415BABC2}">
            <x14:dataBar minLength="0" maxLength="100" gradient="0">
              <x14:cfvo type="num">
                <xm:f>0</xm:f>
              </x14:cfvo>
              <x14:cfvo type="num">
                <xm:f>1</xm:f>
              </x14:cfvo>
              <x14:negativeFillColor rgb="FFFF0000"/>
              <x14:axisColor rgb="FF000000"/>
            </x14:dataBar>
          </x14:cfRule>
          <xm:sqref>C27:C29</xm:sqref>
        </x14:conditionalFormatting>
        <x14:conditionalFormatting xmlns:xm="http://schemas.microsoft.com/office/excel/2006/main">
          <x14:cfRule type="dataBar" id="{932BF9D8-7305-461A-A1A9-4E2EEAF7AC64}">
            <x14:dataBar minLength="0" maxLength="100" gradient="0">
              <x14:cfvo type="num">
                <xm:f>0</xm:f>
              </x14:cfvo>
              <x14:cfvo type="num">
                <xm:f>1</xm:f>
              </x14:cfvo>
              <x14:negativeFillColor rgb="FFFF0000"/>
              <x14:axisColor rgb="FF000000"/>
            </x14:dataBar>
          </x14:cfRule>
          <xm:sqref>C15</xm:sqref>
        </x14:conditionalFormatting>
        <x14:conditionalFormatting xmlns:xm="http://schemas.microsoft.com/office/excel/2006/main">
          <x14:cfRule type="dataBar" id="{025BA848-6C86-4B20-AEFA-BFA80C64784E}">
            <x14:dataBar minLength="0" maxLength="100" gradient="0">
              <x14:cfvo type="num">
                <xm:f>0</xm:f>
              </x14:cfvo>
              <x14:cfvo type="num">
                <xm:f>1</xm:f>
              </x14:cfvo>
              <x14:negativeFillColor rgb="FFFF0000"/>
              <x14:axisColor rgb="FF000000"/>
            </x14:dataBar>
          </x14:cfRule>
          <xm:sqref>C16</xm:sqref>
        </x14:conditionalFormatting>
        <x14:conditionalFormatting xmlns:xm="http://schemas.microsoft.com/office/excel/2006/main">
          <x14:cfRule type="dataBar" id="{CE2DD641-38C1-42D3-915B-96F075486338}">
            <x14:dataBar minLength="0" maxLength="100" gradient="0">
              <x14:cfvo type="num">
                <xm:f>0</xm:f>
              </x14:cfvo>
              <x14:cfvo type="num">
                <xm:f>1</xm:f>
              </x14:cfvo>
              <x14:negativeFillColor rgb="FFFF0000"/>
              <x14:axisColor rgb="FF000000"/>
            </x14:dataBar>
          </x14:cfRule>
          <xm:sqref>C24:C25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Views>
    <sheetView showGridLines="0" zoomScaleNormal="100" workbookViewId="0"/>
  </sheetViews>
  <sheetFormatPr defaultColWidth="9" defaultRowHeight="12.5" x14ac:dyDescent="0.25"/>
  <cols>
    <col min="1" max="1" width="87" style="5" customWidth="1"/>
    <col min="2" max="16384" width="9" style="1"/>
  </cols>
  <sheetData>
    <row r="1" spans="1:2" ht="46.5" customHeight="1" x14ac:dyDescent="0.25"/>
    <row r="2" spans="1:2" s="7" customFormat="1" ht="15.5" x14ac:dyDescent="0.3">
      <c r="A2" s="47" t="s">
        <v>11</v>
      </c>
      <c r="B2" s="6"/>
    </row>
    <row r="3" spans="1:2" s="9" customFormat="1" ht="27" customHeight="1" x14ac:dyDescent="0.3">
      <c r="A3" s="48"/>
      <c r="B3" s="10"/>
    </row>
    <row r="4" spans="1:2" s="8" customFormat="1" ht="30.5" x14ac:dyDescent="0.85">
      <c r="A4" s="49" t="s">
        <v>12</v>
      </c>
    </row>
    <row r="5" spans="1:2" ht="74.25" customHeight="1" x14ac:dyDescent="0.25">
      <c r="A5" s="50" t="s">
        <v>13</v>
      </c>
    </row>
    <row r="6" spans="1:2" ht="26.25" customHeight="1" x14ac:dyDescent="0.25">
      <c r="A6" s="49" t="s">
        <v>14</v>
      </c>
    </row>
    <row r="7" spans="1:2" s="5" customFormat="1" ht="205.25" customHeight="1" x14ac:dyDescent="0.3">
      <c r="A7" s="51" t="s">
        <v>15</v>
      </c>
    </row>
    <row r="8" spans="1:2" s="8" customFormat="1" ht="30.5" x14ac:dyDescent="0.85">
      <c r="A8" s="49" t="s">
        <v>16</v>
      </c>
    </row>
    <row r="9" spans="1:2" ht="42" x14ac:dyDescent="0.25">
      <c r="A9" s="50" t="s">
        <v>17</v>
      </c>
    </row>
    <row r="10" spans="1:2" s="5" customFormat="1" ht="28.25" customHeight="1" x14ac:dyDescent="0.3">
      <c r="A10" s="52" t="s">
        <v>18</v>
      </c>
    </row>
    <row r="11" spans="1:2" s="8" customFormat="1" ht="30.5" x14ac:dyDescent="0.85">
      <c r="A11" s="49" t="s">
        <v>19</v>
      </c>
    </row>
    <row r="12" spans="1:2" ht="28" x14ac:dyDescent="0.25">
      <c r="A12" s="50" t="s">
        <v>20</v>
      </c>
    </row>
    <row r="13" spans="1:2" s="5" customFormat="1" ht="28.25" customHeight="1" x14ac:dyDescent="0.3">
      <c r="A13" s="52" t="s">
        <v>21</v>
      </c>
    </row>
    <row r="14" spans="1:2" s="8" customFormat="1" ht="30.5" x14ac:dyDescent="0.85">
      <c r="A14" s="49" t="s">
        <v>22</v>
      </c>
    </row>
    <row r="15" spans="1:2" ht="75" customHeight="1" x14ac:dyDescent="0.25">
      <c r="A15" s="50" t="s">
        <v>23</v>
      </c>
    </row>
    <row r="16" spans="1:2" ht="70" x14ac:dyDescent="0.25">
      <c r="A16" s="50" t="s">
        <v>24</v>
      </c>
    </row>
    <row r="17" spans="1:1" x14ac:dyDescent="0.25">
      <c r="A17" s="53"/>
    </row>
    <row r="18" spans="1:1" x14ac:dyDescent="0.25">
      <c r="A18" s="53"/>
    </row>
    <row r="19" spans="1:1" x14ac:dyDescent="0.25">
      <c r="A19" s="53"/>
    </row>
    <row r="20" spans="1:1" x14ac:dyDescent="0.25">
      <c r="A20" s="53"/>
    </row>
    <row r="21" spans="1:1" x14ac:dyDescent="0.25">
      <c r="A21" s="53"/>
    </row>
    <row r="22" spans="1:1" x14ac:dyDescent="0.25">
      <c r="A22" s="53"/>
    </row>
    <row r="23" spans="1:1" x14ac:dyDescent="0.25">
      <c r="A23" s="53"/>
    </row>
    <row r="24" spans="1:1" x14ac:dyDescent="0.25">
      <c r="A24" s="53"/>
    </row>
  </sheetData>
  <hyperlinks>
    <hyperlink ref="A13" r:id="rId1"/>
    <hyperlink ref="A10" r:id="rId2"/>
    <hyperlink ref="A2" r:id="rId3"/>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http://schemas.microsoft.com/office/2006/documentManagement/types"/>
    <ds:schemaRef ds:uri="http://schemas.microsoft.com/office/2006/metadata/properties"/>
    <ds:schemaRef ds:uri="http://schemas.microsoft.com/sharepoint/v3"/>
    <ds:schemaRef ds:uri="230e9df3-be65-4c73-a93b-d1236ebd677e"/>
    <ds:schemaRef ds:uri="http://purl.org/dc/terms/"/>
    <ds:schemaRef ds:uri="http://schemas.openxmlformats.org/package/2006/metadata/core-properties"/>
    <ds:schemaRef ds:uri="16c05727-aa75-4e4a-9b5f-8a80a1165891"/>
    <ds:schemaRef ds:uri="http://purl.org/dc/dcmitype/"/>
    <ds:schemaRef ds:uri="http://schemas.microsoft.com/office/infopath/2007/PartnerControls"/>
    <ds:schemaRef ds:uri="71af3243-3dd4-4a8d-8c0d-dd76da1f02a5"/>
    <ds:schemaRef ds:uri="http://www.w3.org/XML/1998/namespace"/>
    <ds:schemaRef ds:uri="http://purl.org/dc/elements/1.1/"/>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Andrei .</cp:lastModifiedBy>
  <cp:revision/>
  <dcterms:created xsi:type="dcterms:W3CDTF">2025-11-20T22:43:23Z</dcterms:created>
  <dcterms:modified xsi:type="dcterms:W3CDTF">2026-03-03T03:54:17Z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